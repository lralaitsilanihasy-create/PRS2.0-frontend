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dule_Planification" state="visible" r:id="rId4"/>
    <sheet sheetId="2" name="Global_PRS2" state="visible" r:id="rId5"/>
    <sheet sheetId="3" name="Jalons" state="visible" r:id="rId6"/>
    <sheet sheetId="4" name="Parametres" state="visible" r:id="rId7"/>
  </sheets>
  <calcPr calcId="171027"/>
</workbook>
</file>

<file path=xl/sharedStrings.xml><?xml version="1.0" encoding="utf-8"?>
<sst xmlns="http://schemas.openxmlformats.org/spreadsheetml/2006/main" count="481" uniqueCount="298">
  <si>
    <t>PRS 2.0 — Module 1 : socle transversal et dossiers de planification (Gantt hebdomadaire)</t>
  </si>
  <si>
    <t>Arrêté au 26/08/2026 · 26 lignes · démarrage 17/06/2026 · échéance 18/09/2026</t>
  </si>
  <si>
    <t>ID</t>
  </si>
  <si>
    <t>Activité</t>
  </si>
  <si>
    <t>Livrable</t>
  </si>
  <si>
    <t>Responsable</t>
  </si>
  <si>
    <t>Statut</t>
  </si>
  <si>
    <t>%</t>
  </si>
  <si>
    <t>Début</t>
  </si>
  <si>
    <t>Fin</t>
  </si>
  <si>
    <t>Durée (j)</t>
  </si>
  <si>
    <t>Dépend.</t>
  </si>
  <si>
    <t>Jalon</t>
  </si>
  <si>
    <t>Critique</t>
  </si>
  <si>
    <t>Preuve / constat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</si>
  <si>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</si>
  <si>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</si>
  <si>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</si>
  <si>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</si>
  <si>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</si>
  <si>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</si>
  <si>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</si>
  <si>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</si>
  <si>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</si>
  <si>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</si>
  <si>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</si>
  <si>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</si>
  <si>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</si>
  <si>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</si>
  <si>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—</t>
  </si>
  <si>
    <t>A01</t>
  </si>
  <si>
    <t>Socle applicatif : authentification, guards, habilitations par profil</t>
  </si>
  <si>
    <t>core/auth (service de session, guard, service de permissions), services CRUD génériques</t>
  </si>
  <si>
    <t>Mr Lanto</t>
  </si>
  <si>
    <t>termine</t>
  </si>
  <si>
    <t/>
  </si>
  <si>
    <t>◆ oui</t>
  </si>
  <si>
    <t>commit 62f5f9a (17/06) — création de core/auth/{auth.service,auth.guard,permissions.service,permissions}.ts et services/api/crud.service.ts ; couvert par auth.service.spec.ts, auth.guard.spec.ts, permissions.service.spec.ts (suite complète 85/85 au vert, `ng test` du 26/08)</t>
  </si>
  <si>
    <t>A02</t>
  </si>
  <si>
    <t>Circuit d'instruction de bout en bout : dépôt → réception → dispatch → examen → PV</t>
  </si>
  <si>
    <t>Moteur de workflow partagé + écrans des 6 profils du circuit</t>
  </si>
  <si>
    <t>Mr Mathieu</t>
  </si>
  <si>
    <t>commit 62f5f9a (17/06) — shared/circuit/{circuit-workflow,pv-workflow,circuit-timeline,statut-badge}.ts + circuit-workflow.spec.ts ; features/circuit/{dispatch-form,dossier-consultation,dossiers-pipeline}.ts ; features/membre/{examen-dossier,pv-page}.ts ; features/secretaire/{receptions,enregistrement}.ts ; complété par les 4 commits du 18/06 (worklists de vérification)</t>
  </si>
  <si>
    <t>A03</t>
  </si>
  <si>
    <t>Demandes de retrait de dossier et décisions Président / Chef de commission</t>
  </si>
  <si>
    <t>Écrans de demande (PRMP) et de validation (P/CC), garde « avant PV signé »</t>
  </si>
  <si>
    <t>features/circuit/retraits-validation.ts créé le 18/06 ; features/cc/retraits-decision.ts et features/prmp/retraits.ts au commit initial ; règle « retrait impossible dès PV_SIGNE » (409) — commits du 23/06 « message liste vide explicite + erreur 409 dédiée »</t>
  </si>
  <si>
    <t>A04</t>
  </si>
  <si>
    <t>Rectification PRMP et navette avec le vérificateur</t>
  </si>
  <si>
    <t>Statut EN_ATTENTE_DECISION_PRMP bout-en-bout, écrans « Dossiers à rectifier » et « En attente de rectification »</t>
  </si>
  <si>
    <t>12 commits du 19/06 (« statut EN_ATTENTE_DECISION_PRMP (obs non levées) bout-en-bout », « resoumission après rectification ») ; création de features/prmp/dossiers-a-rectifier.ts et features/verificateur/en-attente-prmp.ts le 19/06</t>
  </si>
  <si>
    <t>A05</t>
  </si>
  <si>
    <t>Lettre de renvoi et profil Assistant contrôleur</t>
  </si>
  <si>
    <t>Alternative PV / lettre de renvoi, page « à signer », domaine ASSISTANT_CONTROLEUR</t>
  </si>
  <si>
    <t>J1</t>
  </si>
  <si>
    <t>features/membre/lettre-renvois.ts créé le 24/06 ; features/circuit/{pv-assistant,lettre-renvoi-consultation}.ts et features/assistant/assistant.routes.ts créés le 25/06 ; 8 commits du 25/06</t>
  </si>
  <si>
    <t>◆</t>
  </si>
  <si>
    <t>A06</t>
  </si>
  <si>
    <t>Design system et migration visuelle de l'ensemble des écrans</t>
  </si>
  <si>
    <t>src/styles/_design-system.scss + migration des écrans de tous les profils</t>
  </si>
  <si>
    <t>Mr Christian</t>
  </si>
  <si>
    <t>50 commits le 26/06/2026 — pic d'activité du dépôt — dont 18 intitulés « migrer … vers le design system » (layout, PRMP, circuit, CRUD, secrétaire, président, pilotage, admin, auth) ; création de src/styles/_design-system.scss</t>
  </si>
  <si>
    <t>A07</t>
  </si>
  <si>
    <t>Compteurs de menu et tableaux de bord par profil</t>
  </si>
  <si>
    <t>Badges de comptage des 6 menus, tableau de bord KPI, écran de rapports</t>
  </si>
  <si>
    <t>13 commits du 29/06 (« compteurs du menu PRMP / Vérificateur / Secrétaire », « compteurs scopés par localité pour le CC ») ; features/pilotage/{kpi-dashboard,rapports-page}.ts et shared/dashboard/dashboard-shell.ts ; endpoint agrégé GET /api/kpis/badges livré au commit fad4ca7</t>
  </si>
  <si>
    <t>A08</t>
  </si>
  <si>
    <t>Référentiels administrables (entités, PRMP, UGPM, pièces, modes de passation)</t>
  </si>
  <si>
    <t>21 écrans CRUD d'administration pilotés par configuration</t>
  </si>
  <si>
    <t>features/admin/admin-resources.config.ts (~600 lignes) et admin.routes.ts (21 `loadComponent`) ; ugpm-admin.ts créé le 06/07 ; controleur-admin.ts, prmp-admin.ts, inscriptions-admin.ts, prmp-pieces-admin.ts, ugpm-pieces-admin.ts, dmc-mapping-admin.ts créés le 16/07</t>
  </si>
  <si>
    <t>A09</t>
  </si>
  <si>
    <t>Saisie du plan de passation : grille partagée, import PDF, dates prévisionnelles CAPM</t>
  </si>
  <si>
    <t>shared/prmp/{ppm-saisie-grid,ppm-form-factory,ppm-marches-table}.ts, import PDF avec revue ligne à ligne</t>
  </si>
  <si>
    <t>20 commits du 23/06 (dates prévisionnelles par marché, référentiel CAPM, cohérence chronologique) ; shared/prmp/ppm-marches-table.ts créé le 05/07 ; ppm-form-factory.ts et ppm-saisie-grid.ts créés le 23/07 (« grille de saisie riche partagée », « soumettre consomme la grille partagée ») ; UI d'import .xlsx retirée volontairement le 22/07</t>
  </si>
  <si>
    <t>A10</t>
  </si>
  <si>
    <t>Familles de dossier DDP / DMC / DDM et référentiel des sous-types</t>
  </si>
  <si>
    <t>Choix de famille au dépôt, sous-type dérivé serveur pour DDP, points de contrôle par sous-type</t>
  </si>
  <si>
    <t>A08, A09</t>
  </si>
  <si>
    <t>features/prmp/{dossiers-liste,mes-dossiers}.ts créés le 16/07 ; soumettre-dossier.ts:57-61 (`type FamilleDossier = 'DMC' | 'DDM'`) et :947-960 ; models/referentiel.model.ts:184-198 (tr_type_dossier, tr_sous_type_dossier) ; models/circuit.model.ts:13-15</t>
  </si>
  <si>
    <t>A11</t>
  </si>
  <si>
    <t>Entités contractantes : création à l'import, rattachements, localité dérivée</t>
  </si>
  <si>
    <t>Panneau de résolution d'entité au PDF, écran « Rattachements en attente » (Admin)</t>
  </si>
  <si>
    <t>20 commits le 26/07/2026 (dimanche) : « création d'une entité contractante à l'import », « écran Rattachements en attente », « localité de l'entité → localité du dossier dérivée » ; features/admin/rattachements-admin.ts créé le 26/07</t>
  </si>
  <si>
    <t>A12</t>
  </si>
  <si>
    <t>Écrans « Mes dossiers » par profil et classement des dossiers</t>
  </si>
  <si>
    <t>Files de travail Président, CC, Secrétaire et Membre ; cartes « Dispatchs par contrôleur »</t>
  </si>
  <si>
    <t>A10, A11</t>
  </si>
  <si>
    <t>J2</t>
  </si>
  <si>
    <t>features/circuit/{dossiers-classement,dossiers-circuit-liste}.ts créés le 26/07 ; features/president/dispatchs-controleurs.ts créé le 27/07 ; 20 commits du 27/07, dont « écrans redondants supprimés — files d'examen dans Mes dossiers »</t>
  </si>
  <si>
    <t>A13</t>
  </si>
  <si>
    <t>Chantier parallèle et attente backend (interruption)</t>
  </si>
  <si>
    <t>aucun livrable sur ce dépôt</t>
  </si>
  <si>
    <t>Mr Lanto, Mr Mathieu, Mr Christian</t>
  </si>
  <si>
    <t>0 commit du 28/07/2026 au 10/08/2026 inclus (`git log --pretty=%ad --date=short | sort | uniq -c`) — période qualifiée par le pilote le 26/08 : chantier parallèle / attente</t>
  </si>
  <si>
    <t>A14</t>
  </si>
  <si>
    <t>Délégation ascendante et mandats PRMP</t>
  </si>
  <si>
    <t>Permissions pilotées par t_delegation_profil, écran des mandats, bannière de vacance</t>
  </si>
  <si>
    <t>A01, A12</t>
  </si>
  <si>
    <t>features/admin/mandats-admin.ts et core/vacance/vacance.store.ts créés le 12/08 ; commit du 14/08 « délégation ascendante pilotée par les données (t_delegation_profil) » puis « écrans des subordonnés chez Président/CC (Lot 2) » ; ba9aa97 (15/08) interrupteurs « Délégations »</t>
  </si>
  <si>
    <t>A15</t>
  </si>
  <si>
    <t>Notifications temps réel (SSE) et écran transverse</t>
  </si>
  <si>
    <t>core/notifications/notifications.store.ts (flux SSE partagé), écran /notifications, badge cloche</t>
  </si>
  <si>
    <t>core/notifications/notification-route.ts et features/transverse/notifications-page.ts créés le 11/08 (« clic → écran d'action, mapping type × rôle ») ; notifications.store.ts créé le 15/08 au commit 9552c0c</t>
  </si>
  <si>
    <t>A16</t>
  </si>
  <si>
    <t>Observations du PV, navette post-signature et table PPM commune</t>
  </si>
  <si>
    <t>Cartes d'observation partagées, décisions du vérificateur, réexamen, formulaire de réception partagé</t>
  </si>
  <si>
    <t>A02, A09</t>
  </si>
  <si>
    <t>commits du 15/08 : ce4e875 (cartes d'observation + passage vérificateur par décisions), 018ffae (table PPM commune, mise à jour par import, pièces au dépôt), f6db187 (navette post-signature : archivage, réexamen), 7dbb42d (formulaire de réception partagé) ; création de shared/circuit/observation-pv-card.ts, features/circuit/reception-form.ts, features/prmp/{completer-pieces-depot-modal,mise-a-jour-ppm}.ts</t>
  </si>
  <si>
    <t>A17</t>
  </si>
  <si>
    <t>Audit technique : traitement des constats sécurité, accessibilité, performance</t>
  </si>
  <si>
    <t>AUDIT.md — 35 constats, corrections livrées et vérifiées</t>
  </si>
  <si>
    <t>en_retard</t>
  </si>
  <si>
    <t>AUDIT.md §3 dénombre 35 constats (S1-S13, P1-P11, A1-A7, T1-T3, D1). Clos et vérifiés : 27 (dont 9ff24e9 directive appModale, f8dca39 112 routes en loadComponent, b350579 polices + CI, 1216458 contraste AA 114→17 textes, 1c4ab1c scope sur 225 en-têtes). Restent ouverts : P1, P9 (extension), A2b, S9, S12, P10, T1 (entamé), T3 = 8. Avancement = 27/35 = 77 %.</t>
  </si>
  <si>
    <t>A18</t>
  </si>
  <si>
    <t>Session en cookie HttpOnly et passage en même origine</t>
  </si>
  <si>
    <t>proxy /api, apiUrl relative, suppression de tout jeton côté client</t>
  </si>
  <si>
    <t>J3</t>
  </si>
  <si>
    <t>commits 7a252af (phase 0 — proxy /api, URL relative) et 7cbaf14 (phase 2 — session cookie) du 17/08 ; recette 7/7 points rejouée après le flip et parcours métier vérifié sur les 6 profils, tracée dans AUDIT.md ; proxy.conf.json et CLAUDE.md § « Backend associé — MÊME ORIGINE »</t>
  </si>
  <si>
    <t>A19</t>
  </si>
  <si>
    <t>Actualités à la connexion</t>
  </si>
  <si>
    <t>Modal d'actualités + écran d'administration (front) et API /api/actualites (backend)</t>
  </si>
  <si>
    <t>Front livré et recetté : 9faaa14 (19/08) « modal à la connexion + administration », shared/actualites/{actualites-modal,markdown,markdown-vue}.ts + markdown.spec.ts, services/actualite.services.ts, features/admin/actualites-admin.ts. API backend NON COMMITÉE : docs/demande-backend-2026-08-19.md §A liste 17 fichiers non suivis par git. Avancement = 1 des 2 moitiés (front livré / API versionnée).</t>
  </si>
  <si>
    <t>A20</t>
  </si>
  <si>
    <t>Détail du plan de passation en onglets et UGPM rattachées</t>
  </si>
  <si>
    <t>Modal de détail PPM à trois onglets, visibilité des unités de gestion pour les contrôleurs</t>
  </si>
  <si>
    <t>A09, A14</t>
  </si>
  <si>
    <t>commits du 19/08 (« le détail du plan de passation se lit en trois onglets », f2bca57 « fin du 403 silencieux sur les UGPM ») et du 20/08 (« onglet d'identités réservé aux profils qui découvrent le dossier », « les contrôleurs voient enfin les unités de gestion rattachées ») — 3 derniers commits du dépôt</t>
  </si>
  <si>
    <t>A21</t>
  </si>
  <si>
    <t>Tests automatisés et intégration continue</t>
  </si>
  <si>
    <t>Suite unitaire, CI GitHub Actions, scénarios e2e versionnés</t>
  </si>
  <si>
    <t>85 tests / 8 fichiers, 100 % au vert (`npx ng test --watch=false`, 2,97 s, exécuté le 26/08). Constats « Tests » de AUDIT.md : T2 clos (.github/workflows/ci.yml, commit b350579 du 17/08 — tests + build + npm audit bloquant), T1 entamé (0a4fe15 du 19/08, barrières anti-XSS couvertes), T3 ouvert (aucun e2e versionné, 0 fichier sous e2e/). Avancement = 1 constat clos sur 3.</t>
  </si>
  <si>
    <t>A26</t>
  </si>
  <si>
    <t>Polissage du module « Dossiers de planification »</t>
  </si>
  <si>
    <t>Reprise de finition des écrans du module de planification avant reprise du développement</t>
  </si>
  <si>
    <t>en_cours</t>
  </si>
  <si>
    <t>A09, A16, A20</t>
  </si>
  <si>
    <t>Avancement = 3 jours ouvrés écoulés sur 5 au 26/08 — RATIO DE TEMPS, non une mesure de travail accompli : arbitrage du pilote faute de mesure disponible. ⚠️ Non observable dans le dépôt : dernier commit `bec0e39` du 20/08, aucun commit depuis. Le polissage des 24, 25 et 26/08 n'est pas versionné — à commiter avant toute relance de la mesure (cf. AUDIT.md, constat S11 sur les livraisons non suivies).</t>
  </si>
  <si>
    <t>A22</t>
  </si>
  <si>
    <t>Gestion des délais légaux d'instruction</t>
  </si>
  <si>
    <t>Calcul du délai réglementaire par dossier, alerte ALERTE_DELAI, indicateur de dépassement</t>
  </si>
  <si>
    <t>a_venir</t>
  </si>
  <si>
    <t>A02, A26</t>
  </si>
  <si>
    <t>Absent du code : 0 occurrence de `ALERTE_DELAI` dans src/ alors que docs/regles-gestion.md:370 et :485 la spécifient. Le seul dispositif temporel livré est features/prmp/calendrier-marches.ts — jalons CAPM du plan de l'autorité contractante (imminent / en retard), et non le délai d'instruction du contrôleur. Trois indicateurs déjà modélisés en dépendent : delaiMoyenExamen, delaiMoyenJours, delaiMoyCorrectionJours (models/pilotage.model.ts:85,101,116).</t>
  </si>
  <si>
    <t>A23</t>
  </si>
  <si>
    <t>Indicateurs de performance : écrans manquants</t>
  </si>
  <si>
    <t>Écrans « Indicateurs contrôleurs » et « Indicateurs PRMP »</t>
  </si>
  <si>
    <t>A07, A26</t>
  </si>
  <si>
    <t>IndicateurCtrl et IndicateurPrmp sont modélisés (models/pilotage.model.ts:76-116) et servis (services/pilotage.services.ts) mais aucun écran ne les affiche. SNAPSHOT_STATS_CONFIG n'est plus référencé par aucune route (pilotage-resources.config.ts:6-11). Livrés par A07 : 3 écrans sur les 5 dénombrés.</t>
  </si>
  <si>
    <t>A24</t>
  </si>
  <si>
    <t>Journal d'audit : écran de recherche dédié</t>
  </si>
  <si>
    <t>Écran de consultation filtrable du journal (acteur, dossier, période, action)</t>
  </si>
  <si>
    <t>A01, A26</t>
  </si>
  <si>
    <t>Existant : écran CRUD générique en lecture seule /admin/audit (admin.routes.ts:86, admin-resources.config.ts:571-577) et journal métier par dossier (services/circuit.services.ts:58). Manque un écran de recherche transverse.</t>
  </si>
  <si>
    <t>A25</t>
  </si>
  <si>
    <t>Recette du module 1 et livraison contractuelle</t>
  </si>
  <si>
    <t>Procès-verbal de recette, mise en production du module 1</t>
  </si>
  <si>
    <t>A17, A19, A21, A22, A23, A24</t>
  </si>
  <si>
    <t>J4</t>
  </si>
  <si>
    <t>Démarre au lendemain de A22 (goulot, fin le 11/09) et conserve ses 5 jours ouvrés grâce au décalage d'échéance décidé le 26/08 : 14/09 → 18/09. Dates PROPOSÉES.</t>
  </si>
  <si>
    <t>▲ 26/08/2026</t>
  </si>
  <si>
    <t>▲</t>
  </si>
  <si>
    <t>Légende</t>
  </si>
  <si>
    <t>Terminé</t>
  </si>
  <si>
    <t>En cours</t>
  </si>
  <si>
    <t>À venir</t>
  </si>
  <si>
    <t>En retard</t>
  </si>
  <si>
    <t>◆ jalon      ▲ / trait orange : date d’arrêté (« aujourd’hui »)</t>
  </si>
  <si>
    <t>◆ en colonne « Critique » : activité du chemin critique</t>
  </si>
  <si>
    <t>PRS 2.0 — Vue globale des 4 modules (Gantt mensuel)</t>
  </si>
  <si>
    <t>Arrêté au 26/08/2026 · 6 lignes · démarrage 17/06/2026 · échéance 18/09/2026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</si>
  <si>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</si>
  <si>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</si>
  <si>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</si>
  <si>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</si>
  <si>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</si>
  <si>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</si>
  <si>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</si>
  <si>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</si>
  <si>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</si>
  <si>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</si>
  <si>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</si>
  <si>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</si>
  <si>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G01</t>
  </si>
  <si>
    <t>Module 1 — Socle transversal et dossiers de planification</t>
  </si>
  <si>
    <t>Authentification, habilitations, référentiels, workflow d'instruction, notifications, journal d'audit, tableaux de bord, contrôle des plans de passation</t>
  </si>
  <si>
    <t>Inventaire des 14 fonctions du module 1 (constat du 26/08, chaque ligne adossée à un fichier) : 10 implémentées (auth, habilitations, référentiels, dépôt, complétude, affectation, instruction, visa, navette, notifications), 3 partielles (statistiques, journal d'audit, actualités), 1 absente (délais légaux). Avancement = (10×100 + 3×50 + 1×0) / 14 = 82 %.</t>
  </si>
  <si>
    <t>G02</t>
  </si>
  <si>
    <t>Recette, correction et mise en production du module 1</t>
  </si>
  <si>
    <t>PV de recette, déploiement, reprise des réserves</t>
  </si>
  <si>
    <t>Découpage PROPOSÉ — aucun calendrier contractuel au-delà des 3 mois n'est connu.</t>
  </si>
  <si>
    <t>G03</t>
  </si>
  <si>
    <t>Module 2 — Dossiers de mise en concurrence (DMC)</t>
  </si>
  <si>
    <t>Dossiers d'appel à concurrence, procédures dérogatoires, rapports d'évaluation</t>
  </si>
  <si>
    <t>J5</t>
  </si>
  <si>
    <t>Amorce constatée dans le dépôt : le dépôt d'un dossier DMC et son passage dans le circuit générique existent (soumettre-dossier.ts:57-61 et :158, models/prmp.model.ts:312 « saisie sans contenu »), mais aucun contenu métier propre au module (rapport d'évaluation, procédure dérogatoire) n'est implémenté.</t>
  </si>
  <si>
    <t>G04</t>
  </si>
  <si>
    <t>Module 3 — Dossiers de marchés (projets de marchés et avenants)</t>
  </si>
  <si>
    <t>Contrôle des projets de marchés et des avenants avant approbation</t>
  </si>
  <si>
    <t>J6</t>
  </si>
  <si>
    <t>Amorce identique à DMC (famille DDM, soumettre-dossier.ts:166) ; aucun projet de marché ni avenant structuré dans le code.</t>
  </si>
  <si>
    <t>G05</t>
  </si>
  <si>
    <t>Module 4 — Actes de gestion contractuelle</t>
  </si>
  <si>
    <t>Contrôle des décisions d'octroi d'indemnité, sursis d'exécution, remise de pénalité, résiliation</t>
  </si>
  <si>
    <t>J7</t>
  </si>
  <si>
    <t>Absent du dépôt : 0 occurrence de « indemnité », « sursis », « pénalité » ou « résiliation » dans src/.</t>
  </si>
  <si>
    <t>G06</t>
  </si>
  <si>
    <t>Recette globale, reprise de données et déploiement PRS 2.0</t>
  </si>
  <si>
    <t>Recette des 4 modules, mise en production</t>
  </si>
  <si>
    <t>G02, G03, G04, G05</t>
  </si>
  <si>
    <t>J8</t>
  </si>
  <si>
    <t>Découpage PROPOSÉ — à valider.</t>
  </si>
  <si>
    <t>PRS 2.0 — Jalons</t>
  </si>
  <si>
    <t>Code</t>
  </si>
  <si>
    <t>Libellé</t>
  </si>
  <si>
    <t>Date cible</t>
  </si>
  <si>
    <t>Critères de validation</t>
  </si>
  <si>
    <t>Preuve</t>
  </si>
  <si>
    <t>◆ J1</t>
  </si>
  <si>
    <t>Circuit d'instruction fonctionnel de bout en bout</t>
  </si>
  <si>
    <t>franchi</t>
  </si>
  <si>
    <t xml:space="preserve">• Un dossier parcourt dépôt → réception → dispatch → examen → PV sans intervention manuelle
• Les deux issues de l'examen sont ouvertes : projet de PV ou lettre de renvoi
• Les 6 profils du circuit disposent de leurs écrans</t>
  </si>
  <si>
    <t>Écrans du circuit et de la lettre de renvoi créés entre le 17/06 et le 25/06 ; circuit-workflow.spec.ts au vert</t>
  </si>
  <si>
    <t>◆ J2</t>
  </si>
  <si>
    <t>Parcours métier complet sur les 6 profils</t>
  </si>
  <si>
    <t xml:space="preserve">• Chaque profil atterrit sur sa file de travail à la connexion
• Les familles DDP / DMC / DDM et les sous-types sont pilotés par référentiel
• L'entité contractante est résolue ou créée au dépôt, avec approbation Admin
• Les écrans redondants sont supprimés au profit de « Mes dossiers »</t>
  </si>
  <si>
    <t>Commits du 26 et 27/07 (40 au total) ; features/circuit/dossiers-classement.ts, features/president/dispatchs-controleurs.ts</t>
  </si>
  <si>
    <t>◆ J3</t>
  </si>
  <si>
    <t>Socle durci : sécurité, accessibilité, session par cookie</t>
  </si>
  <si>
    <t>partiellement_franchi</t>
  </si>
  <si>
    <t xml:space="preserve">• Volet sécurité de l'audit intégralement soldé — ✅ (AUDIT.md : S10 clos le 17/08)
• Aucun jeton côté client, session portée par cookie HttpOnly — ✅ (recette 7/7, 6 profils)
• npm audit sans vulnérabilité ≥ high, bloquant en CI — ✅ (ci.yml)
• Contraste AA sur le texte de l'application — ✅ partiel (114 textes hors seuil → 17)
• 8 constats d'audit restent ouverts : P1, P9, A2b, S9, S12, P10, T1, T3 — ❌</t>
  </si>
  <si>
    <t>AUDIT.md, suivi des corrections du 16 au 19/08 ; commits 787ec4a → 1c4ab1c</t>
  </si>
  <si>
    <t>◆ J4</t>
  </si>
  <si>
    <t>Recette du module 1 — livraison contractuelle</t>
  </si>
  <si>
    <t xml:space="preserve">• Les 14 fonctions du module 1 sont implémentées, dont les délais légaux d'instruction
• Les 35 constats de l'audit technique sont soldés ou explicitement acceptés
• Scénarios e2e versionnés dans le dépôt (constat T3)
• API des actualités commitée et déployable depuis git
• PV de recette signé</t>
  </si>
  <si>
    <t>◆ J5</t>
  </si>
  <si>
    <t>Module 2 — Dossiers de mise en concurrence livré</t>
  </si>
  <si>
    <t>• À définir avec la maîtrise d'ouvrage — aucune spécification dans le dépôt</t>
  </si>
  <si>
    <t>◆ J6</t>
  </si>
  <si>
    <t>Module 3 — Dossiers de marchés livré</t>
  </si>
  <si>
    <t>◆ J7</t>
  </si>
  <si>
    <t>Module 4 — Actes livré</t>
  </si>
  <si>
    <t>◆ J8</t>
  </si>
  <si>
    <t>Mise en production PRS 2.0</t>
  </si>
  <si>
    <t>• À définir avec la maîtrise d'ouvrage</t>
  </si>
  <si>
    <t>Paramètre</t>
  </si>
  <si>
    <t>Valeur</t>
  </si>
  <si>
    <t>Commentaire</t>
  </si>
  <si>
    <t>Date de démarrage</t>
  </si>
  <si>
    <t>ANCRE du classeur : toutes les dates des autres onglets sont des formules « =Parametres!$B$2 + n ». Modifier cette cellule décale le calendrier ; relancer le script pour recalculer les couleurs des barres.</t>
  </si>
  <si>
    <t>Date d'arrêté</t>
  </si>
  <si>
    <t>Date d'observation — sert à la détection des retards et à la ligne « aujourd'hui ».</t>
  </si>
  <si>
    <t>Date de fin contractuelle</t>
  </si>
  <si>
    <t>Échéance. Écart au démarrage : 93 jours calendaires.</t>
  </si>
  <si>
    <t>Jours ouvrés</t>
  </si>
  <si>
    <t>oui</t>
  </si>
  <si>
    <t>Week-ends exclus du calcul des durées.</t>
  </si>
  <si>
    <t>Jours fériés exclus</t>
  </si>
  <si>
    <t>2026-06-26, 2026-08-15</t>
  </si>
  <si>
    <t>Renseignés dans activites.yaml → parametres.jours_feries.</t>
  </si>
  <si>
    <t>Équipe</t>
  </si>
  <si>
    <t>SYNTHÈSE</t>
  </si>
  <si>
    <t>Activités module 1</t>
  </si>
  <si>
    <t>18 terminées · 1 en cours · 4 à venir</t>
  </si>
  <si>
    <t>Avancement pondéré (durées)</t>
  </si>
  <si>
    <t>78 %</t>
  </si>
  <si>
    <t>Σ(avancement × durée) / Σ(durée) sur le module 1.</t>
  </si>
  <si>
    <t>Avancement module 1 déclaré</t>
  </si>
  <si>
    <t>82 %</t>
  </si>
  <si>
    <t>Valeur portée par la ligne globale, adossée à sa preuve.</t>
  </si>
  <si>
    <t>Activités en retard</t>
  </si>
  <si>
    <t>A17, A19, A21</t>
  </si>
  <si>
    <t>Jalons franchis</t>
  </si>
  <si>
    <t>J1, J2, J3</t>
  </si>
  <si>
    <t>Prochaine échéance</t>
  </si>
  <si>
    <t>18/09/2026</t>
  </si>
  <si>
    <t>J4 — Recette du module 1 — livraison contractuelle (dans 23 jours)</t>
  </si>
  <si>
    <t>Chemin critique — module 1</t>
  </si>
  <si>
    <t>A01 → A02 → A09 → A10 → A12 → A14 → A20 → A26 → A22 → A25</t>
  </si>
  <si>
    <t>10 activités.</t>
  </si>
  <si>
    <t>Chemin critique — global</t>
  </si>
  <si>
    <t>G01 → G03 → G04 → G05 → G06</t>
  </si>
  <si>
    <t>5 lignes.</t>
  </si>
  <si>
    <t>AVERTISSEMENTS (15)</t>
  </si>
  <si>
    <t>• A06 : début déclaré le 26/06/2026 (jour non ouvré) → décalé au 29/06/2026.</t>
  </si>
  <si>
    <t>• A02 : démarre le 17/06/2026, avant la fin de sa dépendance A01 (19/06/2026) — chevauchement assumé, non replanifié.</t>
  </si>
  <si>
    <t>• A03 : démarre le 18/06/2026, avant la fin de sa dépendance A02 (25/06/2026) — chevauchement assumé, non replanifié.</t>
  </si>
  <si>
    <t>• A04 : démarre le 19/06/2026, avant la fin de sa dépendance A02 (25/06/2026) — chevauchement assumé, non replanifié.</t>
  </si>
  <si>
    <t>• A05 : démarre le 24/06/2026, avant la fin de sa dépendance A02 (25/06/2026) — chevauchement assumé, non replanifié.</t>
  </si>
  <si>
    <t>• A07 : démarre le 29/06/2026, avant la fin de sa dépendance A06 (30/06/2026) — chevauchement assumé, non replanifié.</t>
  </si>
  <si>
    <t>• A09 : démarre le 23/06/2026, avant la fin de sa dépendance A02 (25/06/2026) — chevauchement assumé, non replanifié.</t>
  </si>
  <si>
    <t>• A10 : démarre le 16/07/2026, avant la fin de sa dépendance A08 (16/07/2026) — chevauchement assumé, non replanifié.</t>
  </si>
  <si>
    <t>• A10 : démarre le 16/07/2026, avant la fin de sa dépendance A09 (27/07/2026) — chevauchement assumé, non replanifié.</t>
  </si>
  <si>
    <t>• A11 : démarre le 27/07/2026, avant la fin de sa dépendance A09 (27/07/2026) — chevauchement assumé, non replanifié.</t>
  </si>
  <si>
    <t>• A12 : démarre le 27/07/2026, avant la fin de sa dépendance A10 (27/07/2026) — chevauchement assumé, non replanifié.</t>
  </si>
  <si>
    <t>• A12 : démarre le 27/07/2026, avant la fin de sa dépendance A11 (27/07/2026) — chevauchement assumé, non replanifié.</t>
  </si>
  <si>
    <t>• A17 : statut déclaré « en_cours », calculé « en_retard » (fin 19/08/2026, avancement 77 %).</t>
  </si>
  <si>
    <t>• A19 : statut déclaré « en_cours », calculé « en_retard » (fin 19/08/2026, avancement 50 %).</t>
  </si>
  <si>
    <t>• A21 : statut déclaré « en_cours », calculé « en_retard » (fin 19/08/2026, avancement 33 %).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</si>
</sst>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"/>
    <numFmt numFmtId="165" formatCode="0 %"/>
    <numFmt numFmtId="166" formatCode="dd/mm/yyyy"/>
  </numFmts>
  <fonts count="21" x14ac:knownFonts="1">
    <font>
      <color theme="1"/>
      <family val="2"/>
      <scheme val="minor"/>
      <sz val="11"/>
      <name val="Calibri"/>
    </font>
    <font>
      <b/>
      <color rgb="FF1E293B"/>
      <sz val="14"/>
    </font>
    <font>
      <i/>
      <color rgb="FF475569"/>
      <sz val="10"/>
    </font>
    <font>
      <b/>
      <color rgb="FFFFFFFF"/>
      <sz val="10"/>
    </font>
    <font>
      <color rgb="FF475569"/>
      <sz val="8"/>
    </font>
    <font>
      <b/>
      <color rgb="FFB45309"/>
      <sz val="9"/>
    </font>
    <font>
      <sz val="9"/>
    </font>
    <font>
      <b/>
      <color rgb="FF16A34A"/>
      <sz val="9"/>
    </font>
    <font>
      <b/>
      <color rgb="FFFFFFFF"/>
      <sz val="11"/>
    </font>
    <font>
      <b/>
      <color rgb="FFDC2626"/>
      <sz val="9"/>
    </font>
    <font>
      <b/>
      <color rgb="FF111827"/>
      <sz val="11"/>
    </font>
    <font>
      <b/>
      <color rgb="FF2563EB"/>
      <sz val="9"/>
    </font>
    <font>
      <b/>
      <color rgb="FF9CA3AF"/>
      <sz val="9"/>
    </font>
    <font>
      <b/>
      <color rgb="FFB45309"/>
    </font>
    <font>
      <b/>
      <sz val="10"/>
    </font>
    <font>
      <b/>
      <color rgb="FF16A34A"/>
      <sz val="10"/>
    </font>
    <font>
      <b/>
      <color rgb="FF9CA3AF"/>
      <sz val="10"/>
    </font>
    <font>
      <b/>
    </font>
    <font>
      <b/>
      <color rgb="FF1E293B"/>
      <sz val="11"/>
    </font>
    <font>
      <b/>
      <color rgb="FFB45309"/>
      <sz val="11"/>
    </font>
    <font>
      <color rgb="FF7C2D12"/>
      <sz val="9"/>
    </font>
  </fonts>
  <fills count="9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E2E8F0"/>
      </patternFill>
    </fill>
    <fill>
      <patternFill patternType="solid">
        <fgColor rgb="FF16A34A"/>
      </patternFill>
    </fill>
    <fill>
      <patternFill patternType="solid">
        <fgColor rgb="FFDC2626"/>
      </patternFill>
    </fill>
    <fill>
      <patternFill patternType="solid">
        <fgColor rgb="FF2563EB"/>
      </patternFill>
    </fill>
    <fill>
      <patternFill patternType="solid">
        <fgColor rgb="FF9CA3AF"/>
      </patternFill>
    </fill>
    <fill>
      <patternFill patternType="solid">
        <fgColor rgb="FFFEF3C7"/>
      </patternFill>
    </fill>
  </fills>
  <borders count="5">
    <border>
      <left/>
      <right/>
      <top/>
      <bottom/>
      <diagonal/>
    </border>
    <border>
      <left/>
      <right/>
      <top/>
      <bottom style="thin">
        <color rgb="FF475569"/>
      </bottom>
      <diagonal/>
    </border>
    <border>
      <left style="medium">
        <color rgb="FFB45309"/>
      </left>
      <right/>
      <top/>
      <bottom style="thin">
        <color rgb="FF475569"/>
      </bottom>
      <diagonal/>
    </border>
    <border>
      <left style="medium">
        <color rgb="FFB45309"/>
      </left>
      <right/>
      <top/>
      <bottom/>
      <diagonal/>
    </border>
    <border>
      <left/>
      <right/>
      <top/>
      <bottom style="hair">
        <color rgb="FFCBD5E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164" fontId="4" fillId="3" borderId="0" xfId="0" applyNumberFormat="1" applyFont="1" applyFill="1" applyAlignment="1">
      <alignment horizontal="center" textRotation="90"/>
    </xf>
    <xf numFmtId="164" fontId="4" fillId="3" borderId="3" xfId="0" applyNumberFormat="1" applyFont="1" applyFill="1" applyBorder="1" applyAlignment="1">
      <alignment horizontal="center" textRotation="90"/>
    </xf>
    <xf numFmtId="0" fontId="5" fillId="0" borderId="4" xfId="0" applyFont="1" applyBorder="1" applyAlignment="1">
      <alignment vertical="top"/>
    </xf>
    <xf numFmtId="0" fontId="6" fillId="0" borderId="4" xfId="0" applyFont="1" applyBorder="1" applyAlignment="1">
      <alignment vertical="top" wrapText="1"/>
    </xf>
    <xf numFmtId="0" fontId="6" fillId="0" borderId="4" xfId="0" applyFont="1" applyBorder="1" applyAlignment="1">
      <alignment vertical="top"/>
    </xf>
    <xf numFmtId="0" fontId="7" fillId="0" borderId="4" xfId="0" applyFont="1" applyBorder="1" applyAlignment="1">
      <alignment vertical="top"/>
    </xf>
    <xf numFmtId="165" fontId="6" fillId="0" borderId="4" xfId="0" applyNumberFormat="1" applyFont="1" applyBorder="1" applyAlignment="1">
      <alignment vertical="top"/>
    </xf>
    <xf numFmtId="166" fontId="6" fillId="0" borderId="4" xfId="0" applyNumberFormat="1" applyFont="1" applyBorder="1" applyAlignment="1">
      <alignment vertical="top"/>
    </xf>
    <xf numFmtId="0" fontId="0" fillId="4" borderId="0" xfId="0" applyFill="1"/>
    <xf numFmtId="0" fontId="0" fillId="0" borderId="3" xfId="0" applyBorder="1"/>
    <xf numFmtId="0" fontId="8" fillId="4" borderId="0" xfId="0" applyFont="1" applyFill="1" applyAlignment="1">
      <alignment horizontal="center" vertical="center"/>
    </xf>
    <xf numFmtId="0" fontId="9" fillId="0" borderId="4" xfId="0" applyFont="1" applyBorder="1" applyAlignment="1">
      <alignment vertical="top"/>
    </xf>
    <xf numFmtId="0" fontId="0" fillId="5" borderId="0" xfId="0" applyFill="1"/>
    <xf numFmtId="0" fontId="10" fillId="0" borderId="0" xfId="0" applyFont="1" applyAlignment="1">
      <alignment horizontal="center" vertical="center"/>
    </xf>
    <xf numFmtId="0" fontId="11" fillId="0" borderId="4" xfId="0" applyFont="1" applyBorder="1" applyAlignment="1">
      <alignment vertical="top"/>
    </xf>
    <xf numFmtId="0" fontId="0" fillId="6" borderId="0" xfId="0" applyFill="1"/>
    <xf numFmtId="0" fontId="0" fillId="6" borderId="3" xfId="0" applyFill="1" applyBorder="1"/>
    <xf numFmtId="0" fontId="12" fillId="0" borderId="4" xfId="0" applyFont="1" applyBorder="1" applyAlignment="1">
      <alignment vertical="top"/>
    </xf>
    <xf numFmtId="0" fontId="0" fillId="7" borderId="3" xfId="0" applyFill="1" applyBorder="1"/>
    <xf numFmtId="0" fontId="0" fillId="7" borderId="0" xfId="0" applyFill="1"/>
    <xf numFmtId="0" fontId="8" fillId="7" borderId="0" xfId="0" applyFont="1" applyFill="1" applyAlignment="1">
      <alignment horizontal="center" vertical="center"/>
    </xf>
    <xf numFmtId="0" fontId="5" fillId="0" borderId="0" xfId="0" applyFont="1"/>
    <xf numFmtId="0" fontId="13" fillId="0" borderId="0" xfId="0" applyFont="1" applyAlignment="1">
      <alignment horizontal="center"/>
    </xf>
    <xf numFmtId="0" fontId="14" fillId="0" borderId="0" xfId="0" applyFont="1"/>
    <xf numFmtId="0" fontId="6" fillId="0" borderId="0" xfId="0" applyFont="1"/>
    <xf numFmtId="0" fontId="8" fillId="6" borderId="0" xfId="0" applyFont="1" applyFill="1" applyAlignment="1">
      <alignment horizontal="center" vertical="center"/>
    </xf>
    <xf numFmtId="0" fontId="15" fillId="0" borderId="4" xfId="0" applyFont="1" applyBorder="1" applyAlignment="1">
      <alignment vertical="top" wrapText="1"/>
    </xf>
    <xf numFmtId="166" fontId="6" fillId="0" borderId="4" xfId="0" applyNumberFormat="1" applyFont="1" applyBorder="1" applyAlignment="1">
      <alignment vertical="top" wrapText="1"/>
    </xf>
    <xf numFmtId="0" fontId="16" fillId="0" borderId="4" xfId="0" applyFont="1" applyBorder="1" applyAlignment="1">
      <alignment vertical="top" wrapText="1"/>
    </xf>
    <xf numFmtId="166" fontId="17" fillId="8" borderId="0" xfId="0" applyNumberFormat="1" applyFont="1" applyFill="1"/>
    <xf numFmtId="0" fontId="0" fillId="0" borderId="0" xfId="0" applyAlignment="1">
      <alignment vertical="top"/>
    </xf>
    <xf numFmtId="166" fontId="0" fillId="0" borderId="0" xfId="0" applyNumberFormat="1" applyAlignment="1">
      <alignment vertical="top"/>
    </xf>
    <xf numFmtId="0" fontId="0" fillId="0" borderId="0" xfId="0" applyAlignment="1">
      <alignment vertical="top" wrapText="1"/>
    </xf>
    <xf numFmtId="0" fontId="18" fillId="0" borderId="0" xfId="0" applyFont="1" applyAlignment="1">
      <alignment vertical="top"/>
    </xf>
    <xf numFmtId="0" fontId="19" fillId="0" borderId="0" xfId="0" applyFont="1"/>
    <xf numFmtId="0" fontId="2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39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46" customWidth="1"/>
    <col min="3" max="3" width="38" customWidth="1"/>
    <col min="4" max="4" width="18" customWidth="1"/>
    <col min="5" max="5" width="12" customWidth="1"/>
    <col min="6" max="6" width="6" customWidth="1"/>
    <col min="7" max="8" width="11" customWidth="1"/>
    <col min="10" max="10" width="12" customWidth="1"/>
    <col min="11" max="11" width="7" customWidth="1"/>
    <col min="12" max="12" width="8" customWidth="1"/>
    <col min="13" max="13" width="60" customWidth="1"/>
    <col min="14" max="27" width="4.4" customWidth="1"/>
  </cols>
  <sheetData>
    <row r="1" ht="22" customHeight="1" spans="1:27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ht="26" customHeight="1" spans="1:27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3" t="s">
        <v>19</v>
      </c>
      <c r="S3" s="3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4" t="s">
        <v>25</v>
      </c>
      <c r="Y3" s="3" t="s">
        <v>26</v>
      </c>
      <c r="Z3" s="3" t="s">
        <v>27</v>
      </c>
      <c r="AA3" s="3" t="s">
        <v>28</v>
      </c>
    </row>
    <row r="4" ht="34" customHeight="1" spans="1:27" x14ac:dyDescent="0.25">
      <c r="A4" t="s">
        <v>29</v>
      </c>
      <c r="N4" s="5">
        <f>Parametres!$B$2+0</f>
        <v>46190</v>
      </c>
      <c r="O4" s="5">
        <f>Parametres!$B$2+7</f>
        <v>46197</v>
      </c>
      <c r="P4" s="5">
        <f>Parametres!$B$2+14</f>
        <v>46204</v>
      </c>
      <c r="Q4" s="5">
        <f>Parametres!$B$2+21</f>
        <v>46211</v>
      </c>
      <c r="R4" s="5">
        <f>Parametres!$B$2+28</f>
        <v>46218</v>
      </c>
      <c r="S4" s="5">
        <f>Parametres!$B$2+35</f>
        <v>46225</v>
      </c>
      <c r="T4" s="5">
        <f>Parametres!$B$2+42</f>
        <v>46232</v>
      </c>
      <c r="U4" s="5">
        <f>Parametres!$B$2+49</f>
        <v>46239</v>
      </c>
      <c r="V4" s="5">
        <f>Parametres!$B$2+56</f>
        <v>46246</v>
      </c>
      <c r="W4" s="5">
        <f>Parametres!$B$2+63</f>
        <v>46253</v>
      </c>
      <c r="X4" s="6">
        <f>Parametres!$B$2+70</f>
        <v>46260</v>
      </c>
      <c r="Y4" s="5">
        <f>Parametres!$B$2+77</f>
        <v>46267</v>
      </c>
      <c r="Z4" s="5">
        <f>Parametres!$B$2+84</f>
        <v>46274</v>
      </c>
      <c r="AA4" s="5">
        <f>Parametres!$B$2+91</f>
        <v>46281</v>
      </c>
    </row>
    <row r="5" ht="30" customHeight="1" spans="1:27" x14ac:dyDescent="0.25">
      <c r="A5" s="7" t="s">
        <v>30</v>
      </c>
      <c r="B5" s="8" t="s">
        <v>31</v>
      </c>
      <c r="C5" s="8" t="s">
        <v>32</v>
      </c>
      <c r="D5" s="9" t="s">
        <v>33</v>
      </c>
      <c r="E5" s="10" t="s">
        <v>34</v>
      </c>
      <c r="F5" s="11">
        <v>1</v>
      </c>
      <c r="G5" s="12">
        <f>Parametres!$B$2+0</f>
        <v>46190</v>
      </c>
      <c r="H5" s="12">
        <f>Parametres!$B$2+2</f>
        <v>46192</v>
      </c>
      <c r="I5" s="9">
        <v>3</v>
      </c>
      <c r="J5" s="9" t="s">
        <v>35</v>
      </c>
      <c r="K5" s="9" t="s">
        <v>35</v>
      </c>
      <c r="L5" s="9" t="s">
        <v>36</v>
      </c>
      <c r="M5" s="8" t="s">
        <v>37</v>
      </c>
      <c r="N5" s="13"/>
      <c r="X5" s="14"/>
    </row>
    <row r="6" ht="30" customHeight="1" spans="1:27" x14ac:dyDescent="0.25">
      <c r="A6" s="7" t="s">
        <v>38</v>
      </c>
      <c r="B6" s="8" t="s">
        <v>39</v>
      </c>
      <c r="C6" s="8" t="s">
        <v>40</v>
      </c>
      <c r="D6" s="9" t="s">
        <v>41</v>
      </c>
      <c r="E6" s="10" t="s">
        <v>34</v>
      </c>
      <c r="F6" s="11">
        <v>1</v>
      </c>
      <c r="G6" s="12">
        <f>Parametres!$B$2+0</f>
        <v>46190</v>
      </c>
      <c r="H6" s="12">
        <f>Parametres!$B$2+8</f>
        <v>46198</v>
      </c>
      <c r="I6" s="9">
        <v>7</v>
      </c>
      <c r="J6" s="9" t="s">
        <v>30</v>
      </c>
      <c r="K6" s="9" t="s">
        <v>35</v>
      </c>
      <c r="L6" s="9" t="s">
        <v>36</v>
      </c>
      <c r="M6" s="8" t="s">
        <v>42</v>
      </c>
      <c r="N6" s="13"/>
      <c r="O6" s="13"/>
      <c r="X6" s="14"/>
    </row>
    <row r="7" ht="30" customHeight="1" spans="1:27" x14ac:dyDescent="0.25">
      <c r="A7" s="9" t="s">
        <v>43</v>
      </c>
      <c r="B7" s="8" t="s">
        <v>44</v>
      </c>
      <c r="C7" s="8" t="s">
        <v>45</v>
      </c>
      <c r="D7" s="9" t="s">
        <v>41</v>
      </c>
      <c r="E7" s="10" t="s">
        <v>34</v>
      </c>
      <c r="F7" s="11">
        <v>1</v>
      </c>
      <c r="G7" s="12">
        <f>Parametres!$B$2+1</f>
        <v>46191</v>
      </c>
      <c r="H7" s="12">
        <f>Parametres!$B$2+6</f>
        <v>46196</v>
      </c>
      <c r="I7" s="9">
        <v>4</v>
      </c>
      <c r="J7" s="9" t="s">
        <v>38</v>
      </c>
      <c r="K7" s="9" t="s">
        <v>35</v>
      </c>
      <c r="L7" s="9" t="s">
        <v>35</v>
      </c>
      <c r="M7" s="8" t="s">
        <v>46</v>
      </c>
      <c r="N7" s="13"/>
      <c r="X7" s="14"/>
    </row>
    <row r="8" ht="30" customHeight="1" spans="1:27" x14ac:dyDescent="0.25">
      <c r="A8" s="9" t="s">
        <v>47</v>
      </c>
      <c r="B8" s="8" t="s">
        <v>48</v>
      </c>
      <c r="C8" s="8" t="s">
        <v>49</v>
      </c>
      <c r="D8" s="9" t="s">
        <v>41</v>
      </c>
      <c r="E8" s="10" t="s">
        <v>34</v>
      </c>
      <c r="F8" s="11">
        <v>1</v>
      </c>
      <c r="G8" s="12">
        <f>Parametres!$B$2+2</f>
        <v>46192</v>
      </c>
      <c r="H8" s="12">
        <f>Parametres!$B$2+6</f>
        <v>46196</v>
      </c>
      <c r="I8" s="9">
        <v>3</v>
      </c>
      <c r="J8" s="9" t="s">
        <v>38</v>
      </c>
      <c r="K8" s="9" t="s">
        <v>35</v>
      </c>
      <c r="L8" s="9" t="s">
        <v>35</v>
      </c>
      <c r="M8" s="8" t="s">
        <v>50</v>
      </c>
      <c r="N8" s="13"/>
      <c r="X8" s="14"/>
    </row>
    <row r="9" ht="30" customHeight="1" spans="1:27" x14ac:dyDescent="0.25">
      <c r="A9" s="9" t="s">
        <v>51</v>
      </c>
      <c r="B9" s="8" t="s">
        <v>52</v>
      </c>
      <c r="C9" s="8" t="s">
        <v>53</v>
      </c>
      <c r="D9" s="9" t="s">
        <v>41</v>
      </c>
      <c r="E9" s="10" t="s">
        <v>34</v>
      </c>
      <c r="F9" s="11">
        <v>1</v>
      </c>
      <c r="G9" s="12">
        <f>Parametres!$B$2+7</f>
        <v>46197</v>
      </c>
      <c r="H9" s="12">
        <f>Parametres!$B$2+8</f>
        <v>46198</v>
      </c>
      <c r="I9" s="9">
        <v>2</v>
      </c>
      <c r="J9" s="9" t="s">
        <v>38</v>
      </c>
      <c r="K9" s="9" t="s">
        <v>54</v>
      </c>
      <c r="L9" s="9" t="s">
        <v>35</v>
      </c>
      <c r="M9" s="8" t="s">
        <v>55</v>
      </c>
      <c r="O9" s="15" t="s">
        <v>56</v>
      </c>
      <c r="X9" s="14"/>
    </row>
    <row r="10" ht="30" customHeight="1" spans="1:27" x14ac:dyDescent="0.25">
      <c r="A10" s="9" t="s">
        <v>57</v>
      </c>
      <c r="B10" s="8" t="s">
        <v>58</v>
      </c>
      <c r="C10" s="8" t="s">
        <v>59</v>
      </c>
      <c r="D10" s="9" t="s">
        <v>60</v>
      </c>
      <c r="E10" s="10" t="s">
        <v>34</v>
      </c>
      <c r="F10" s="11">
        <v>1</v>
      </c>
      <c r="G10" s="12">
        <f>Parametres!$B$2+12</f>
        <v>46202</v>
      </c>
      <c r="H10" s="12">
        <f>Parametres!$B$2+13</f>
        <v>46203</v>
      </c>
      <c r="I10" s="9">
        <v>2</v>
      </c>
      <c r="J10" s="9" t="s">
        <v>38</v>
      </c>
      <c r="K10" s="9" t="s">
        <v>35</v>
      </c>
      <c r="L10" s="9" t="s">
        <v>35</v>
      </c>
      <c r="M10" s="8" t="s">
        <v>61</v>
      </c>
      <c r="O10" s="13"/>
      <c r="X10" s="14"/>
    </row>
    <row r="11" ht="30" customHeight="1" spans="1:27" x14ac:dyDescent="0.25">
      <c r="A11" s="9" t="s">
        <v>62</v>
      </c>
      <c r="B11" s="8" t="s">
        <v>63</v>
      </c>
      <c r="C11" s="8" t="s">
        <v>64</v>
      </c>
      <c r="D11" s="9" t="s">
        <v>60</v>
      </c>
      <c r="E11" s="10" t="s">
        <v>34</v>
      </c>
      <c r="F11" s="11">
        <v>1</v>
      </c>
      <c r="G11" s="12">
        <f>Parametres!$B$2+12</f>
        <v>46202</v>
      </c>
      <c r="H11" s="12">
        <f>Parametres!$B$2+15</f>
        <v>46205</v>
      </c>
      <c r="I11" s="9">
        <v>4</v>
      </c>
      <c r="J11" s="9" t="s">
        <v>57</v>
      </c>
      <c r="K11" s="9" t="s">
        <v>35</v>
      </c>
      <c r="L11" s="9" t="s">
        <v>35</v>
      </c>
      <c r="M11" s="8" t="s">
        <v>65</v>
      </c>
      <c r="O11" s="13"/>
      <c r="P11" s="13"/>
      <c r="X11" s="14"/>
    </row>
    <row r="12" ht="30" customHeight="1" spans="1:27" x14ac:dyDescent="0.25">
      <c r="A12" s="9" t="s">
        <v>66</v>
      </c>
      <c r="B12" s="8" t="s">
        <v>67</v>
      </c>
      <c r="C12" s="8" t="s">
        <v>68</v>
      </c>
      <c r="D12" s="9" t="s">
        <v>60</v>
      </c>
      <c r="E12" s="10" t="s">
        <v>34</v>
      </c>
      <c r="F12" s="11">
        <v>1</v>
      </c>
      <c r="G12" s="12">
        <f>Parametres!$B$2+16</f>
        <v>46206</v>
      </c>
      <c r="H12" s="12">
        <f>Parametres!$B$2+29</f>
        <v>46219</v>
      </c>
      <c r="I12" s="9">
        <v>10</v>
      </c>
      <c r="J12" s="9" t="s">
        <v>30</v>
      </c>
      <c r="K12" s="9" t="s">
        <v>35</v>
      </c>
      <c r="L12" s="9" t="s">
        <v>35</v>
      </c>
      <c r="M12" s="8" t="s">
        <v>69</v>
      </c>
      <c r="P12" s="13"/>
      <c r="Q12" s="13"/>
      <c r="R12" s="13"/>
      <c r="X12" s="14"/>
    </row>
    <row r="13" ht="30" customHeight="1" spans="1:27" x14ac:dyDescent="0.25">
      <c r="A13" s="7" t="s">
        <v>70</v>
      </c>
      <c r="B13" s="8" t="s">
        <v>71</v>
      </c>
      <c r="C13" s="8" t="s">
        <v>72</v>
      </c>
      <c r="D13" s="9" t="s">
        <v>60</v>
      </c>
      <c r="E13" s="10" t="s">
        <v>34</v>
      </c>
      <c r="F13" s="11">
        <v>1</v>
      </c>
      <c r="G13" s="12">
        <f>Parametres!$B$2+6</f>
        <v>46196</v>
      </c>
      <c r="H13" s="12">
        <f>Parametres!$B$2+40</f>
        <v>46230</v>
      </c>
      <c r="I13" s="9">
        <v>24</v>
      </c>
      <c r="J13" s="9" t="s">
        <v>38</v>
      </c>
      <c r="K13" s="9" t="s">
        <v>35</v>
      </c>
      <c r="L13" s="9" t="s">
        <v>36</v>
      </c>
      <c r="M13" s="8" t="s">
        <v>73</v>
      </c>
      <c r="N13" s="13"/>
      <c r="O13" s="13"/>
      <c r="P13" s="13"/>
      <c r="Q13" s="13"/>
      <c r="R13" s="13"/>
      <c r="S13" s="13"/>
      <c r="X13" s="14"/>
    </row>
    <row r="14" ht="30" customHeight="1" spans="1:27" x14ac:dyDescent="0.25">
      <c r="A14" s="7" t="s">
        <v>74</v>
      </c>
      <c r="B14" s="8" t="s">
        <v>75</v>
      </c>
      <c r="C14" s="8" t="s">
        <v>76</v>
      </c>
      <c r="D14" s="9" t="s">
        <v>60</v>
      </c>
      <c r="E14" s="10" t="s">
        <v>34</v>
      </c>
      <c r="F14" s="11">
        <v>1</v>
      </c>
      <c r="G14" s="12">
        <f>Parametres!$B$2+29</f>
        <v>46219</v>
      </c>
      <c r="H14" s="12">
        <f>Parametres!$B$2+40</f>
        <v>46230</v>
      </c>
      <c r="I14" s="9">
        <v>8</v>
      </c>
      <c r="J14" s="9" t="s">
        <v>77</v>
      </c>
      <c r="K14" s="9" t="s">
        <v>35</v>
      </c>
      <c r="L14" s="9" t="s">
        <v>36</v>
      </c>
      <c r="M14" s="8" t="s">
        <v>78</v>
      </c>
      <c r="R14" s="13"/>
      <c r="S14" s="13"/>
      <c r="X14" s="14"/>
    </row>
    <row r="15" ht="30" customHeight="1" spans="1:27" x14ac:dyDescent="0.25">
      <c r="A15" s="9" t="s">
        <v>79</v>
      </c>
      <c r="B15" s="8" t="s">
        <v>80</v>
      </c>
      <c r="C15" s="8" t="s">
        <v>81</v>
      </c>
      <c r="D15" s="9" t="s">
        <v>60</v>
      </c>
      <c r="E15" s="10" t="s">
        <v>34</v>
      </c>
      <c r="F15" s="11">
        <v>1</v>
      </c>
      <c r="G15" s="12">
        <f>Parametres!$B$2+40</f>
        <v>46230</v>
      </c>
      <c r="H15" s="12">
        <f>Parametres!$B$2+40</f>
        <v>46230</v>
      </c>
      <c r="I15" s="9">
        <v>1</v>
      </c>
      <c r="J15" s="9" t="s">
        <v>77</v>
      </c>
      <c r="K15" s="9" t="s">
        <v>35</v>
      </c>
      <c r="L15" s="9" t="s">
        <v>35</v>
      </c>
      <c r="M15" s="8" t="s">
        <v>82</v>
      </c>
      <c r="S15" s="13"/>
      <c r="X15" s="14"/>
    </row>
    <row r="16" ht="30" customHeight="1" spans="1:27" x14ac:dyDescent="0.25">
      <c r="A16" s="7" t="s">
        <v>83</v>
      </c>
      <c r="B16" s="8" t="s">
        <v>84</v>
      </c>
      <c r="C16" s="8" t="s">
        <v>85</v>
      </c>
      <c r="D16" s="9" t="s">
        <v>41</v>
      </c>
      <c r="E16" s="10" t="s">
        <v>34</v>
      </c>
      <c r="F16" s="11">
        <v>1</v>
      </c>
      <c r="G16" s="12">
        <f>Parametres!$B$2+40</f>
        <v>46230</v>
      </c>
      <c r="H16" s="12">
        <f>Parametres!$B$2+40</f>
        <v>46230</v>
      </c>
      <c r="I16" s="9">
        <v>1</v>
      </c>
      <c r="J16" s="9" t="s">
        <v>86</v>
      </c>
      <c r="K16" s="9" t="s">
        <v>87</v>
      </c>
      <c r="L16" s="9" t="s">
        <v>36</v>
      </c>
      <c r="M16" s="8" t="s">
        <v>88</v>
      </c>
      <c r="S16" s="15" t="s">
        <v>56</v>
      </c>
      <c r="X16" s="14"/>
    </row>
    <row r="17" ht="30" customHeight="1" spans="1:27" x14ac:dyDescent="0.25">
      <c r="A17" s="9" t="s">
        <v>89</v>
      </c>
      <c r="B17" s="8" t="s">
        <v>90</v>
      </c>
      <c r="C17" s="8" t="s">
        <v>91</v>
      </c>
      <c r="D17" s="9" t="s">
        <v>92</v>
      </c>
      <c r="E17" s="10" t="s">
        <v>34</v>
      </c>
      <c r="F17" s="11">
        <v>1</v>
      </c>
      <c r="G17" s="12">
        <f>Parametres!$B$2+41</f>
        <v>46231</v>
      </c>
      <c r="H17" s="12">
        <f>Parametres!$B$2+54</f>
        <v>46244</v>
      </c>
      <c r="I17" s="9">
        <v>10</v>
      </c>
      <c r="J17" s="9" t="s">
        <v>83</v>
      </c>
      <c r="K17" s="9" t="s">
        <v>35</v>
      </c>
      <c r="L17" s="9" t="s">
        <v>35</v>
      </c>
      <c r="M17" s="8" t="s">
        <v>93</v>
      </c>
      <c r="S17" s="13"/>
      <c r="T17" s="13"/>
      <c r="U17" s="13"/>
      <c r="X17" s="14"/>
    </row>
    <row r="18" ht="30" customHeight="1" spans="1:27" x14ac:dyDescent="0.25">
      <c r="A18" s="7" t="s">
        <v>94</v>
      </c>
      <c r="B18" s="8" t="s">
        <v>95</v>
      </c>
      <c r="C18" s="8" t="s">
        <v>96</v>
      </c>
      <c r="D18" s="9" t="s">
        <v>41</v>
      </c>
      <c r="E18" s="10" t="s">
        <v>34</v>
      </c>
      <c r="F18" s="11">
        <v>1</v>
      </c>
      <c r="G18" s="12">
        <f>Parametres!$B$2+55</f>
        <v>46245</v>
      </c>
      <c r="H18" s="12">
        <f>Parametres!$B$2+58</f>
        <v>46248</v>
      </c>
      <c r="I18" s="9">
        <v>4</v>
      </c>
      <c r="J18" s="9" t="s">
        <v>97</v>
      </c>
      <c r="K18" s="9" t="s">
        <v>35</v>
      </c>
      <c r="L18" s="9" t="s">
        <v>36</v>
      </c>
      <c r="M18" s="8" t="s">
        <v>98</v>
      </c>
      <c r="U18" s="13"/>
      <c r="V18" s="13"/>
      <c r="X18" s="14"/>
    </row>
    <row r="19" ht="30" customHeight="1" spans="1:27" x14ac:dyDescent="0.25">
      <c r="A19" s="9" t="s">
        <v>99</v>
      </c>
      <c r="B19" s="8" t="s">
        <v>100</v>
      </c>
      <c r="C19" s="8" t="s">
        <v>101</v>
      </c>
      <c r="D19" s="9" t="s">
        <v>33</v>
      </c>
      <c r="E19" s="10" t="s">
        <v>34</v>
      </c>
      <c r="F19" s="11">
        <v>1</v>
      </c>
      <c r="G19" s="12">
        <f>Parametres!$B$2+55</f>
        <v>46245</v>
      </c>
      <c r="H19" s="12">
        <f>Parametres!$B$2+58</f>
        <v>46248</v>
      </c>
      <c r="I19" s="9">
        <v>4</v>
      </c>
      <c r="J19" s="9" t="s">
        <v>30</v>
      </c>
      <c r="K19" s="9" t="s">
        <v>35</v>
      </c>
      <c r="L19" s="9" t="s">
        <v>35</v>
      </c>
      <c r="M19" s="8" t="s">
        <v>102</v>
      </c>
      <c r="U19" s="13"/>
      <c r="V19" s="13"/>
      <c r="X19" s="14"/>
    </row>
    <row r="20" ht="30" customHeight="1" spans="1:27" x14ac:dyDescent="0.25">
      <c r="A20" s="9" t="s">
        <v>103</v>
      </c>
      <c r="B20" s="8" t="s">
        <v>104</v>
      </c>
      <c r="C20" s="8" t="s">
        <v>105</v>
      </c>
      <c r="D20" s="9" t="s">
        <v>41</v>
      </c>
      <c r="E20" s="10" t="s">
        <v>34</v>
      </c>
      <c r="F20" s="11">
        <v>1</v>
      </c>
      <c r="G20" s="12">
        <f>Parametres!$B$2+55</f>
        <v>46245</v>
      </c>
      <c r="H20" s="12">
        <f>Parametres!$B$2+58</f>
        <v>46248</v>
      </c>
      <c r="I20" s="9">
        <v>4</v>
      </c>
      <c r="J20" s="9" t="s">
        <v>106</v>
      </c>
      <c r="K20" s="9" t="s">
        <v>35</v>
      </c>
      <c r="L20" s="9" t="s">
        <v>35</v>
      </c>
      <c r="M20" s="8" t="s">
        <v>107</v>
      </c>
      <c r="U20" s="13"/>
      <c r="V20" s="13"/>
      <c r="X20" s="14"/>
    </row>
    <row r="21" ht="30" customHeight="1" spans="1:27" x14ac:dyDescent="0.25">
      <c r="A21" s="9" t="s">
        <v>108</v>
      </c>
      <c r="B21" s="8" t="s">
        <v>109</v>
      </c>
      <c r="C21" s="8" t="s">
        <v>110</v>
      </c>
      <c r="D21" s="9" t="s">
        <v>33</v>
      </c>
      <c r="E21" s="16" t="s">
        <v>111</v>
      </c>
      <c r="F21" s="11">
        <v>0.77</v>
      </c>
      <c r="G21" s="12">
        <f>Parametres!$B$2+61</f>
        <v>46251</v>
      </c>
      <c r="H21" s="12">
        <f>Parametres!$B$2+63</f>
        <v>46253</v>
      </c>
      <c r="I21" s="9">
        <v>3</v>
      </c>
      <c r="J21" s="9" t="s">
        <v>57</v>
      </c>
      <c r="K21" s="9" t="s">
        <v>35</v>
      </c>
      <c r="L21" s="9" t="s">
        <v>35</v>
      </c>
      <c r="M21" s="8" t="s">
        <v>112</v>
      </c>
      <c r="V21" s="17"/>
      <c r="W21" s="17"/>
      <c r="X21" s="14"/>
    </row>
    <row r="22" ht="30" customHeight="1" spans="1:27" x14ac:dyDescent="0.25">
      <c r="A22" s="9" t="s">
        <v>113</v>
      </c>
      <c r="B22" s="8" t="s">
        <v>114</v>
      </c>
      <c r="C22" s="8" t="s">
        <v>115</v>
      </c>
      <c r="D22" s="9" t="s">
        <v>33</v>
      </c>
      <c r="E22" s="10" t="s">
        <v>34</v>
      </c>
      <c r="F22" s="11">
        <v>1</v>
      </c>
      <c r="G22" s="12">
        <f>Parametres!$B$2+61</f>
        <v>46251</v>
      </c>
      <c r="H22" s="12">
        <f>Parametres!$B$2+61</f>
        <v>46251</v>
      </c>
      <c r="I22" s="9">
        <v>1</v>
      </c>
      <c r="J22" s="9" t="s">
        <v>30</v>
      </c>
      <c r="K22" s="9" t="s">
        <v>116</v>
      </c>
      <c r="L22" s="9" t="s">
        <v>35</v>
      </c>
      <c r="M22" s="8" t="s">
        <v>117</v>
      </c>
      <c r="V22" s="13"/>
      <c r="W22" s="18" t="s">
        <v>56</v>
      </c>
      <c r="X22" s="14"/>
    </row>
    <row r="23" ht="30" customHeight="1" spans="1:27" x14ac:dyDescent="0.25">
      <c r="A23" s="9" t="s">
        <v>118</v>
      </c>
      <c r="B23" s="8" t="s">
        <v>119</v>
      </c>
      <c r="C23" s="8" t="s">
        <v>120</v>
      </c>
      <c r="D23" s="9" t="s">
        <v>60</v>
      </c>
      <c r="E23" s="16" t="s">
        <v>111</v>
      </c>
      <c r="F23" s="11">
        <v>0.5</v>
      </c>
      <c r="G23" s="12">
        <f>Parametres!$B$2+63</f>
        <v>46253</v>
      </c>
      <c r="H23" s="12">
        <f>Parametres!$B$2+63</f>
        <v>46253</v>
      </c>
      <c r="I23" s="9">
        <v>1</v>
      </c>
      <c r="J23" s="9" t="s">
        <v>66</v>
      </c>
      <c r="K23" s="9" t="s">
        <v>35</v>
      </c>
      <c r="L23" s="9" t="s">
        <v>35</v>
      </c>
      <c r="M23" s="8" t="s">
        <v>121</v>
      </c>
      <c r="W23" s="17"/>
      <c r="X23" s="14"/>
    </row>
    <row r="24" ht="30" customHeight="1" spans="1:27" x14ac:dyDescent="0.25">
      <c r="A24" s="7" t="s">
        <v>122</v>
      </c>
      <c r="B24" s="8" t="s">
        <v>123</v>
      </c>
      <c r="C24" s="8" t="s">
        <v>124</v>
      </c>
      <c r="D24" s="9" t="s">
        <v>60</v>
      </c>
      <c r="E24" s="10" t="s">
        <v>34</v>
      </c>
      <c r="F24" s="11">
        <v>1</v>
      </c>
      <c r="G24" s="12">
        <f>Parametres!$B$2+63</f>
        <v>46253</v>
      </c>
      <c r="H24" s="12">
        <f>Parametres!$B$2+64</f>
        <v>46254</v>
      </c>
      <c r="I24" s="9">
        <v>2</v>
      </c>
      <c r="J24" s="9" t="s">
        <v>125</v>
      </c>
      <c r="K24" s="9" t="s">
        <v>35</v>
      </c>
      <c r="L24" s="9" t="s">
        <v>36</v>
      </c>
      <c r="M24" s="8" t="s">
        <v>126</v>
      </c>
      <c r="W24" s="13"/>
      <c r="X24" s="14"/>
    </row>
    <row r="25" ht="30" customHeight="1" spans="1:27" x14ac:dyDescent="0.25">
      <c r="A25" s="9" t="s">
        <v>127</v>
      </c>
      <c r="B25" s="8" t="s">
        <v>128</v>
      </c>
      <c r="C25" s="8" t="s">
        <v>129</v>
      </c>
      <c r="D25" s="9" t="s">
        <v>33</v>
      </c>
      <c r="E25" s="16" t="s">
        <v>111</v>
      </c>
      <c r="F25" s="11">
        <v>0.33</v>
      </c>
      <c r="G25" s="12">
        <f>Parametres!$B$2+61</f>
        <v>46251</v>
      </c>
      <c r="H25" s="12">
        <f>Parametres!$B$2+63</f>
        <v>46253</v>
      </c>
      <c r="I25" s="9">
        <v>3</v>
      </c>
      <c r="J25" s="9" t="s">
        <v>30</v>
      </c>
      <c r="K25" s="9" t="s">
        <v>35</v>
      </c>
      <c r="L25" s="9" t="s">
        <v>35</v>
      </c>
      <c r="M25" s="8" t="s">
        <v>130</v>
      </c>
      <c r="V25" s="17"/>
      <c r="W25" s="17"/>
      <c r="X25" s="14"/>
    </row>
    <row r="26" ht="30" customHeight="1" spans="1:27" x14ac:dyDescent="0.25">
      <c r="A26" s="7" t="s">
        <v>131</v>
      </c>
      <c r="B26" s="8" t="s">
        <v>132</v>
      </c>
      <c r="C26" s="8" t="s">
        <v>133</v>
      </c>
      <c r="D26" s="9" t="s">
        <v>60</v>
      </c>
      <c r="E26" s="19" t="s">
        <v>134</v>
      </c>
      <c r="F26" s="11">
        <v>0.6</v>
      </c>
      <c r="G26" s="12">
        <f>Parametres!$B$2+68</f>
        <v>46258</v>
      </c>
      <c r="H26" s="12">
        <f>Parametres!$B$2+72</f>
        <v>46262</v>
      </c>
      <c r="I26" s="9">
        <v>5</v>
      </c>
      <c r="J26" s="9" t="s">
        <v>135</v>
      </c>
      <c r="K26" s="9" t="s">
        <v>35</v>
      </c>
      <c r="L26" s="9" t="s">
        <v>36</v>
      </c>
      <c r="M26" s="8" t="s">
        <v>136</v>
      </c>
      <c r="W26" s="20"/>
      <c r="X26" s="21"/>
    </row>
    <row r="27" ht="30" customHeight="1" spans="1:27" x14ac:dyDescent="0.25">
      <c r="A27" s="7" t="s">
        <v>137</v>
      </c>
      <c r="B27" s="8" t="s">
        <v>138</v>
      </c>
      <c r="C27" s="8" t="s">
        <v>139</v>
      </c>
      <c r="D27" s="9" t="s">
        <v>41</v>
      </c>
      <c r="E27" s="22" t="s">
        <v>140</v>
      </c>
      <c r="F27" s="11">
        <v>0</v>
      </c>
      <c r="G27" s="12">
        <f>Parametres!$B$2+75</f>
        <v>46265</v>
      </c>
      <c r="H27" s="12">
        <f>Parametres!$B$2+86</f>
        <v>46276</v>
      </c>
      <c r="I27" s="9">
        <v>10</v>
      </c>
      <c r="J27" s="9" t="s">
        <v>141</v>
      </c>
      <c r="K27" s="9" t="s">
        <v>35</v>
      </c>
      <c r="L27" s="9" t="s">
        <v>36</v>
      </c>
      <c r="M27" s="8" t="s">
        <v>142</v>
      </c>
      <c r="X27" s="23"/>
      <c r="Y27" s="24"/>
      <c r="Z27" s="24"/>
    </row>
    <row r="28" ht="30" customHeight="1" spans="1:27" x14ac:dyDescent="0.25">
      <c r="A28" s="9" t="s">
        <v>143</v>
      </c>
      <c r="B28" s="8" t="s">
        <v>144</v>
      </c>
      <c r="C28" s="8" t="s">
        <v>145</v>
      </c>
      <c r="D28" s="9" t="s">
        <v>60</v>
      </c>
      <c r="E28" s="22" t="s">
        <v>140</v>
      </c>
      <c r="F28" s="11">
        <v>0</v>
      </c>
      <c r="G28" s="12">
        <f>Parametres!$B$2+75</f>
        <v>46265</v>
      </c>
      <c r="H28" s="12">
        <f>Parametres!$B$2+79</f>
        <v>46269</v>
      </c>
      <c r="I28" s="9">
        <v>5</v>
      </c>
      <c r="J28" s="9" t="s">
        <v>146</v>
      </c>
      <c r="K28" s="9" t="s">
        <v>35</v>
      </c>
      <c r="L28" s="9" t="s">
        <v>35</v>
      </c>
      <c r="M28" s="8" t="s">
        <v>147</v>
      </c>
      <c r="X28" s="23"/>
      <c r="Y28" s="24"/>
    </row>
    <row r="29" ht="30" customHeight="1" spans="1:27" x14ac:dyDescent="0.25">
      <c r="A29" s="9" t="s">
        <v>148</v>
      </c>
      <c r="B29" s="8" t="s">
        <v>149</v>
      </c>
      <c r="C29" s="8" t="s">
        <v>150</v>
      </c>
      <c r="D29" s="9" t="s">
        <v>33</v>
      </c>
      <c r="E29" s="22" t="s">
        <v>140</v>
      </c>
      <c r="F29" s="11">
        <v>0</v>
      </c>
      <c r="G29" s="12">
        <f>Parametres!$B$2+75</f>
        <v>46265</v>
      </c>
      <c r="H29" s="12">
        <f>Parametres!$B$2+77</f>
        <v>46267</v>
      </c>
      <c r="I29" s="9">
        <v>3</v>
      </c>
      <c r="J29" s="9" t="s">
        <v>151</v>
      </c>
      <c r="K29" s="9" t="s">
        <v>35</v>
      </c>
      <c r="L29" s="9" t="s">
        <v>35</v>
      </c>
      <c r="M29" s="8" t="s">
        <v>152</v>
      </c>
      <c r="X29" s="23"/>
      <c r="Y29" s="24"/>
    </row>
    <row r="30" ht="30" customHeight="1" spans="1:27" x14ac:dyDescent="0.25">
      <c r="A30" s="7" t="s">
        <v>153</v>
      </c>
      <c r="B30" s="8" t="s">
        <v>154</v>
      </c>
      <c r="C30" s="8" t="s">
        <v>155</v>
      </c>
      <c r="D30" s="9" t="s">
        <v>92</v>
      </c>
      <c r="E30" s="22" t="s">
        <v>140</v>
      </c>
      <c r="F30" s="11">
        <v>0</v>
      </c>
      <c r="G30" s="12">
        <f>Parametres!$B$2+89</f>
        <v>46279</v>
      </c>
      <c r="H30" s="12">
        <f>Parametres!$B$2+93</f>
        <v>46283</v>
      </c>
      <c r="I30" s="9">
        <v>5</v>
      </c>
      <c r="J30" s="9" t="s">
        <v>156</v>
      </c>
      <c r="K30" s="9" t="s">
        <v>157</v>
      </c>
      <c r="L30" s="9" t="s">
        <v>36</v>
      </c>
      <c r="M30" s="8" t="s">
        <v>158</v>
      </c>
      <c r="X30" s="14"/>
      <c r="Z30" s="24"/>
      <c r="AA30" s="25" t="s">
        <v>56</v>
      </c>
    </row>
    <row r="31" spans="1:24" x14ac:dyDescent="0.25">
      <c r="A31" s="26" t="s">
        <v>159</v>
      </c>
      <c r="X31" s="27" t="s">
        <v>160</v>
      </c>
    </row>
    <row r="33" spans="1:1" x14ac:dyDescent="0.25">
      <c r="A33" s="28" t="s">
        <v>161</v>
      </c>
    </row>
    <row r="34" spans="1:2" x14ac:dyDescent="0.25">
      <c r="A34" s="13"/>
      <c r="B34" s="29" t="s">
        <v>162</v>
      </c>
    </row>
    <row r="35" spans="1:2" x14ac:dyDescent="0.25">
      <c r="A35" s="20"/>
      <c r="B35" s="29" t="s">
        <v>163</v>
      </c>
    </row>
    <row r="36" spans="1:2" x14ac:dyDescent="0.25">
      <c r="A36" s="24"/>
      <c r="B36" s="29" t="s">
        <v>164</v>
      </c>
    </row>
    <row r="37" spans="1:2" x14ac:dyDescent="0.25">
      <c r="A37" s="17"/>
      <c r="B37" s="29" t="s">
        <v>165</v>
      </c>
    </row>
    <row r="38" spans="2:2" x14ac:dyDescent="0.25">
      <c r="B38" s="29" t="s">
        <v>166</v>
      </c>
    </row>
    <row r="39" spans="2:2" x14ac:dyDescent="0.25">
      <c r="B39" s="29" t="s">
        <v>167</v>
      </c>
    </row>
  </sheetData>
  <autoFilter ref="A3:M30"/>
  <mergeCells count="2">
    <mergeCell ref="A1:AA1"/>
    <mergeCell ref="A2:AA2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19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46" customWidth="1"/>
    <col min="3" max="3" width="38" customWidth="1"/>
    <col min="4" max="4" width="18" customWidth="1"/>
    <col min="5" max="5" width="12" customWidth="1"/>
    <col min="6" max="6" width="6" customWidth="1"/>
    <col min="7" max="8" width="11" customWidth="1"/>
    <col min="10" max="10" width="12" customWidth="1"/>
    <col min="11" max="11" width="7" customWidth="1"/>
    <col min="12" max="12" width="8" customWidth="1"/>
    <col min="13" max="13" width="60" customWidth="1"/>
    <col min="14" max="25" width="4.4" customWidth="1"/>
  </cols>
  <sheetData>
    <row r="1" ht="22" customHeight="1" spans="1:25" x14ac:dyDescent="0.25">
      <c r="A1" s="1" t="s">
        <v>168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x14ac:dyDescent="0.25">
      <c r="A2" s="2" t="s">
        <v>169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26" customHeight="1" spans="1:25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170</v>
      </c>
      <c r="O3" s="3" t="s">
        <v>171</v>
      </c>
      <c r="P3" s="4" t="s">
        <v>172</v>
      </c>
      <c r="Q3" s="3" t="s">
        <v>173</v>
      </c>
      <c r="R3" s="3" t="s">
        <v>174</v>
      </c>
      <c r="S3" s="3" t="s">
        <v>175</v>
      </c>
      <c r="T3" s="3" t="s">
        <v>176</v>
      </c>
      <c r="U3" s="3" t="s">
        <v>177</v>
      </c>
      <c r="V3" s="3" t="s">
        <v>178</v>
      </c>
      <c r="W3" s="3" t="s">
        <v>179</v>
      </c>
      <c r="X3" s="3" t="s">
        <v>180</v>
      </c>
      <c r="Y3" s="3" t="s">
        <v>181</v>
      </c>
    </row>
    <row r="4" ht="34" customHeight="1" spans="1:25" x14ac:dyDescent="0.25">
      <c r="A4" t="s">
        <v>29</v>
      </c>
      <c r="N4" s="5">
        <f>EDATE(Parametres!$B$2,0)</f>
        <v>46190</v>
      </c>
      <c r="O4" s="5">
        <f>EDATE(Parametres!$B$2,1)</f>
        <v>46220</v>
      </c>
      <c r="P4" s="6">
        <f>EDATE(Parametres!$B$2,2)</f>
        <v>46251</v>
      </c>
      <c r="Q4" s="5">
        <f>EDATE(Parametres!$B$2,3)</f>
        <v>46282</v>
      </c>
      <c r="R4" s="5">
        <f>EDATE(Parametres!$B$2,4)</f>
        <v>46312</v>
      </c>
      <c r="S4" s="5">
        <f>EDATE(Parametres!$B$2,5)</f>
        <v>46343</v>
      </c>
      <c r="T4" s="5">
        <f>EDATE(Parametres!$B$2,6)</f>
        <v>46373</v>
      </c>
      <c r="U4" s="5">
        <f>EDATE(Parametres!$B$2,7)</f>
        <v>46404</v>
      </c>
      <c r="V4" s="5">
        <f>EDATE(Parametres!$B$2,8)</f>
        <v>46435</v>
      </c>
      <c r="W4" s="5">
        <f>EDATE(Parametres!$B$2,9)</f>
        <v>46463</v>
      </c>
      <c r="X4" s="5">
        <f>EDATE(Parametres!$B$2,10)</f>
        <v>46494</v>
      </c>
      <c r="Y4" s="5">
        <f>EDATE(Parametres!$B$2,11)</f>
        <v>46524</v>
      </c>
    </row>
    <row r="5" ht="30" customHeight="1" spans="1:25" x14ac:dyDescent="0.25">
      <c r="A5" s="7" t="s">
        <v>182</v>
      </c>
      <c r="B5" s="8" t="s">
        <v>183</v>
      </c>
      <c r="C5" s="8" t="s">
        <v>184</v>
      </c>
      <c r="D5" s="9" t="s">
        <v>92</v>
      </c>
      <c r="E5" s="19" t="s">
        <v>134</v>
      </c>
      <c r="F5" s="11">
        <v>0.82</v>
      </c>
      <c r="G5" s="12">
        <f>Parametres!$B$2+0</f>
        <v>46190</v>
      </c>
      <c r="H5" s="12">
        <f>Parametres!$B$2+93</f>
        <v>46283</v>
      </c>
      <c r="I5" s="9">
        <v>67</v>
      </c>
      <c r="J5" s="9" t="s">
        <v>35</v>
      </c>
      <c r="K5" s="9" t="s">
        <v>157</v>
      </c>
      <c r="L5" s="9" t="s">
        <v>36</v>
      </c>
      <c r="M5" s="8" t="s">
        <v>185</v>
      </c>
      <c r="N5" s="20"/>
      <c r="O5" s="20"/>
      <c r="P5" s="21"/>
      <c r="Q5" s="30" t="s">
        <v>56</v>
      </c>
    </row>
    <row r="6" ht="30" customHeight="1" spans="1:25" x14ac:dyDescent="0.25">
      <c r="A6" s="9" t="s">
        <v>186</v>
      </c>
      <c r="B6" s="8" t="s">
        <v>187</v>
      </c>
      <c r="C6" s="8" t="s">
        <v>188</v>
      </c>
      <c r="D6" s="9" t="s">
        <v>92</v>
      </c>
      <c r="E6" s="22" t="s">
        <v>140</v>
      </c>
      <c r="F6" s="11">
        <v>0</v>
      </c>
      <c r="G6" s="12">
        <f>Parametres!$B$2+96</f>
        <v>46286</v>
      </c>
      <c r="H6" s="12">
        <f>Parametres!$B$2+121</f>
        <v>46311</v>
      </c>
      <c r="I6" s="9">
        <v>20</v>
      </c>
      <c r="J6" s="9" t="s">
        <v>182</v>
      </c>
      <c r="K6" s="9" t="s">
        <v>35</v>
      </c>
      <c r="L6" s="9" t="s">
        <v>35</v>
      </c>
      <c r="M6" s="8" t="s">
        <v>189</v>
      </c>
      <c r="P6" s="14"/>
      <c r="Q6" s="24"/>
    </row>
    <row r="7" ht="30" customHeight="1" spans="1:25" x14ac:dyDescent="0.25">
      <c r="A7" s="7" t="s">
        <v>190</v>
      </c>
      <c r="B7" s="8" t="s">
        <v>191</v>
      </c>
      <c r="C7" s="8" t="s">
        <v>192</v>
      </c>
      <c r="D7" s="9" t="s">
        <v>92</v>
      </c>
      <c r="E7" s="22" t="s">
        <v>140</v>
      </c>
      <c r="F7" s="11">
        <v>0</v>
      </c>
      <c r="G7" s="12">
        <f>Parametres!$B$2+96</f>
        <v>46286</v>
      </c>
      <c r="H7" s="12">
        <f>Parametres!$B$2+182</f>
        <v>46372</v>
      </c>
      <c r="I7" s="9">
        <v>63</v>
      </c>
      <c r="J7" s="9" t="s">
        <v>182</v>
      </c>
      <c r="K7" s="9" t="s">
        <v>193</v>
      </c>
      <c r="L7" s="9" t="s">
        <v>36</v>
      </c>
      <c r="M7" s="8" t="s">
        <v>194</v>
      </c>
      <c r="P7" s="14"/>
      <c r="Q7" s="24"/>
      <c r="R7" s="24"/>
      <c r="S7" s="25" t="s">
        <v>56</v>
      </c>
    </row>
    <row r="8" ht="30" customHeight="1" spans="1:25" x14ac:dyDescent="0.25">
      <c r="A8" s="7" t="s">
        <v>195</v>
      </c>
      <c r="B8" s="8" t="s">
        <v>196</v>
      </c>
      <c r="C8" s="8" t="s">
        <v>197</v>
      </c>
      <c r="D8" s="9" t="s">
        <v>92</v>
      </c>
      <c r="E8" s="22" t="s">
        <v>140</v>
      </c>
      <c r="F8" s="11">
        <v>0</v>
      </c>
      <c r="G8" s="12">
        <f>Parametres!$B$2+183</f>
        <v>46373</v>
      </c>
      <c r="H8" s="12">
        <f>Parametres!$B$2+272</f>
        <v>46462</v>
      </c>
      <c r="I8" s="9">
        <v>64</v>
      </c>
      <c r="J8" s="9" t="s">
        <v>190</v>
      </c>
      <c r="K8" s="9" t="s">
        <v>198</v>
      </c>
      <c r="L8" s="9" t="s">
        <v>36</v>
      </c>
      <c r="M8" s="8" t="s">
        <v>199</v>
      </c>
      <c r="P8" s="14"/>
      <c r="T8" s="24"/>
      <c r="U8" s="24"/>
      <c r="V8" s="25" t="s">
        <v>56</v>
      </c>
    </row>
    <row r="9" ht="30" customHeight="1" spans="1:25" x14ac:dyDescent="0.25">
      <c r="A9" s="7" t="s">
        <v>200</v>
      </c>
      <c r="B9" s="8" t="s">
        <v>201</v>
      </c>
      <c r="C9" s="8" t="s">
        <v>202</v>
      </c>
      <c r="D9" s="9" t="s">
        <v>92</v>
      </c>
      <c r="E9" s="22" t="s">
        <v>140</v>
      </c>
      <c r="F9" s="11">
        <v>0</v>
      </c>
      <c r="G9" s="12">
        <f>Parametres!$B$2+273</f>
        <v>46463</v>
      </c>
      <c r="H9" s="12">
        <f>Parametres!$B$2+333</f>
        <v>46523</v>
      </c>
      <c r="I9" s="9">
        <v>43</v>
      </c>
      <c r="J9" s="9" t="s">
        <v>195</v>
      </c>
      <c r="K9" s="9" t="s">
        <v>203</v>
      </c>
      <c r="L9" s="9" t="s">
        <v>36</v>
      </c>
      <c r="M9" s="8" t="s">
        <v>204</v>
      </c>
      <c r="P9" s="14"/>
      <c r="W9" s="24"/>
      <c r="X9" s="25" t="s">
        <v>56</v>
      </c>
    </row>
    <row r="10" ht="30" customHeight="1" spans="1:25" x14ac:dyDescent="0.25">
      <c r="A10" s="7" t="s">
        <v>205</v>
      </c>
      <c r="B10" s="8" t="s">
        <v>206</v>
      </c>
      <c r="C10" s="8" t="s">
        <v>207</v>
      </c>
      <c r="D10" s="9" t="s">
        <v>92</v>
      </c>
      <c r="E10" s="22" t="s">
        <v>140</v>
      </c>
      <c r="F10" s="11">
        <v>0</v>
      </c>
      <c r="G10" s="12">
        <f>Parametres!$B$2+334</f>
        <v>46524</v>
      </c>
      <c r="H10" s="12">
        <f>Parametres!$B$2+364</f>
        <v>46554</v>
      </c>
      <c r="I10" s="9">
        <v>23</v>
      </c>
      <c r="J10" s="9" t="s">
        <v>208</v>
      </c>
      <c r="K10" s="9" t="s">
        <v>209</v>
      </c>
      <c r="L10" s="9" t="s">
        <v>36</v>
      </c>
      <c r="M10" s="8" t="s">
        <v>210</v>
      </c>
      <c r="P10" s="14"/>
      <c r="Y10" s="25" t="s">
        <v>56</v>
      </c>
    </row>
    <row r="11" spans="1:16" x14ac:dyDescent="0.25">
      <c r="A11" s="26" t="s">
        <v>159</v>
      </c>
      <c r="P11" s="27" t="s">
        <v>160</v>
      </c>
    </row>
    <row r="13" spans="1:1" x14ac:dyDescent="0.25">
      <c r="A13" s="28" t="s">
        <v>161</v>
      </c>
    </row>
    <row r="14" spans="1:2" x14ac:dyDescent="0.25">
      <c r="A14" s="13"/>
      <c r="B14" s="29" t="s">
        <v>162</v>
      </c>
    </row>
    <row r="15" spans="1:2" x14ac:dyDescent="0.25">
      <c r="A15" s="20"/>
      <c r="B15" s="29" t="s">
        <v>163</v>
      </c>
    </row>
    <row r="16" spans="1:2" x14ac:dyDescent="0.25">
      <c r="A16" s="24"/>
      <c r="B16" s="29" t="s">
        <v>164</v>
      </c>
    </row>
    <row r="17" spans="1:2" x14ac:dyDescent="0.25">
      <c r="A17" s="17"/>
      <c r="B17" s="29" t="s">
        <v>165</v>
      </c>
    </row>
    <row r="18" spans="2:2" x14ac:dyDescent="0.25">
      <c r="B18" s="29" t="s">
        <v>166</v>
      </c>
    </row>
    <row r="19" spans="2:2" x14ac:dyDescent="0.25">
      <c r="B19" s="29" t="s">
        <v>167</v>
      </c>
    </row>
  </sheetData>
  <autoFilter ref="A3:M10"/>
  <mergeCells count="2">
    <mergeCell ref="A1:Y1"/>
    <mergeCell ref="A2:Y2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10" customWidth="1"/>
    <col min="2" max="2" width="52" customWidth="1"/>
    <col min="3" max="3" width="13" customWidth="1"/>
    <col min="4" max="4" width="22" customWidth="1"/>
    <col min="5" max="5" width="80" customWidth="1"/>
    <col min="6" max="6" width="60" customWidth="1"/>
  </cols>
  <sheetData>
    <row r="1" spans="1:6" x14ac:dyDescent="0.25">
      <c r="A1" s="1" t="s">
        <v>211</v>
      </c>
      <c r="B1" s="1"/>
      <c r="C1" s="1"/>
      <c r="D1" s="1"/>
      <c r="E1" s="1"/>
      <c r="F1" s="1"/>
    </row>
    <row r="3" ht="24" customHeight="1" spans="1:6" x14ac:dyDescent="0.25">
      <c r="A3" s="3" t="s">
        <v>212</v>
      </c>
      <c r="B3" s="3" t="s">
        <v>213</v>
      </c>
      <c r="C3" s="3" t="s">
        <v>214</v>
      </c>
      <c r="D3" s="3" t="s">
        <v>6</v>
      </c>
      <c r="E3" s="3" t="s">
        <v>215</v>
      </c>
      <c r="F3" s="3" t="s">
        <v>216</v>
      </c>
    </row>
    <row r="4" ht="42" customHeight="1" spans="1:6" x14ac:dyDescent="0.25">
      <c r="A4" s="31" t="s">
        <v>217</v>
      </c>
      <c r="B4" s="8" t="s">
        <v>218</v>
      </c>
      <c r="C4" s="32">
        <f>Parametres!$B$2+8</f>
        <v>46198</v>
      </c>
      <c r="D4" s="8" t="s">
        <v>219</v>
      </c>
      <c r="E4" s="8" t="s">
        <v>220</v>
      </c>
      <c r="F4" s="8" t="s">
        <v>221</v>
      </c>
    </row>
    <row r="5" ht="56" customHeight="1" spans="1:6" x14ac:dyDescent="0.25">
      <c r="A5" s="31" t="s">
        <v>222</v>
      </c>
      <c r="B5" s="8" t="s">
        <v>223</v>
      </c>
      <c r="C5" s="32">
        <f>Parametres!$B$2+40</f>
        <v>46230</v>
      </c>
      <c r="D5" s="8" t="s">
        <v>219</v>
      </c>
      <c r="E5" s="8" t="s">
        <v>224</v>
      </c>
      <c r="F5" s="8" t="s">
        <v>225</v>
      </c>
    </row>
    <row r="6" ht="70" customHeight="1" spans="1:6" x14ac:dyDescent="0.25">
      <c r="A6" s="31" t="s">
        <v>226</v>
      </c>
      <c r="B6" s="8" t="s">
        <v>227</v>
      </c>
      <c r="C6" s="32">
        <f>Parametres!$B$2+63</f>
        <v>46253</v>
      </c>
      <c r="D6" s="8" t="s">
        <v>228</v>
      </c>
      <c r="E6" s="8" t="s">
        <v>229</v>
      </c>
      <c r="F6" s="8" t="s">
        <v>230</v>
      </c>
    </row>
    <row r="7" ht="70" customHeight="1" spans="1:6" x14ac:dyDescent="0.25">
      <c r="A7" s="33" t="s">
        <v>231</v>
      </c>
      <c r="B7" s="8" t="s">
        <v>232</v>
      </c>
      <c r="C7" s="32">
        <f>Parametres!$B$2+93</f>
        <v>46283</v>
      </c>
      <c r="D7" s="8" t="s">
        <v>140</v>
      </c>
      <c r="E7" s="8" t="s">
        <v>233</v>
      </c>
      <c r="F7" s="8" t="s">
        <v>35</v>
      </c>
    </row>
    <row r="8" ht="30" customHeight="1" spans="1:6" x14ac:dyDescent="0.25">
      <c r="A8" s="33" t="s">
        <v>234</v>
      </c>
      <c r="B8" s="8" t="s">
        <v>235</v>
      </c>
      <c r="C8" s="32">
        <f>Parametres!$B$2+182</f>
        <v>46372</v>
      </c>
      <c r="D8" s="8" t="s">
        <v>140</v>
      </c>
      <c r="E8" s="8" t="s">
        <v>236</v>
      </c>
      <c r="F8" s="8" t="s">
        <v>35</v>
      </c>
    </row>
    <row r="9" ht="30" customHeight="1" spans="1:6" x14ac:dyDescent="0.25">
      <c r="A9" s="33" t="s">
        <v>237</v>
      </c>
      <c r="B9" s="8" t="s">
        <v>238</v>
      </c>
      <c r="C9" s="32">
        <f>Parametres!$B$2+272</f>
        <v>46462</v>
      </c>
      <c r="D9" s="8" t="s">
        <v>140</v>
      </c>
      <c r="E9" s="8" t="s">
        <v>236</v>
      </c>
      <c r="F9" s="8" t="s">
        <v>35</v>
      </c>
    </row>
    <row r="10" ht="30" customHeight="1" spans="1:6" x14ac:dyDescent="0.25">
      <c r="A10" s="33" t="s">
        <v>239</v>
      </c>
      <c r="B10" s="8" t="s">
        <v>240</v>
      </c>
      <c r="C10" s="32">
        <f>Parametres!$B$2+333</f>
        <v>46523</v>
      </c>
      <c r="D10" s="8" t="s">
        <v>140</v>
      </c>
      <c r="E10" s="8" t="s">
        <v>236</v>
      </c>
      <c r="F10" s="8" t="s">
        <v>35</v>
      </c>
    </row>
    <row r="11" ht="30" customHeight="1" spans="1:6" x14ac:dyDescent="0.25">
      <c r="A11" s="33" t="s">
        <v>241</v>
      </c>
      <c r="B11" s="8" t="s">
        <v>242</v>
      </c>
      <c r="C11" s="32">
        <f>Parametres!$B$2+364</f>
        <v>46554</v>
      </c>
      <c r="D11" s="8" t="s">
        <v>140</v>
      </c>
      <c r="E11" s="8" t="s">
        <v>243</v>
      </c>
      <c r="F11" s="8" t="s">
        <v>35</v>
      </c>
    </row>
  </sheetData>
  <mergeCells count="1">
    <mergeCell ref="A1:F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5"/>
  <sheetFormatPr defaultRowHeight="15" outlineLevelRow="0" outlineLevelCol="0" x14ac:dyDescent="55"/>
  <cols>
    <col min="1" max="1" width="34" customWidth="1"/>
    <col min="2" max="2" width="22" customWidth="1"/>
    <col min="3" max="3" width="74" customWidth="1"/>
  </cols>
  <sheetData>
    <row r="1" spans="1:3" x14ac:dyDescent="0.25">
      <c r="A1" s="3" t="s">
        <v>244</v>
      </c>
      <c r="B1" s="3" t="s">
        <v>245</v>
      </c>
      <c r="C1" s="3" t="s">
        <v>246</v>
      </c>
    </row>
    <row r="2" spans="1:3" x14ac:dyDescent="0.25">
      <c r="A2" t="s">
        <v>247</v>
      </c>
      <c r="B2" s="34">
        <v>46190</v>
      </c>
      <c r="C2" t="s">
        <v>248</v>
      </c>
    </row>
    <row r="3" spans="1:3" x14ac:dyDescent="0.25">
      <c r="A3" s="35" t="s">
        <v>249</v>
      </c>
      <c r="B3" s="36">
        <v>46260</v>
      </c>
      <c r="C3" s="37" t="s">
        <v>250</v>
      </c>
    </row>
    <row r="4" spans="1:3" x14ac:dyDescent="0.25">
      <c r="A4" s="35" t="s">
        <v>251</v>
      </c>
      <c r="B4" s="36">
        <v>46283</v>
      </c>
      <c r="C4" s="37" t="s">
        <v>252</v>
      </c>
    </row>
    <row r="5" spans="1:3" x14ac:dyDescent="0.25">
      <c r="A5" s="35" t="s">
        <v>253</v>
      </c>
      <c r="B5" s="35" t="s">
        <v>254</v>
      </c>
      <c r="C5" s="37" t="s">
        <v>255</v>
      </c>
    </row>
    <row r="6" spans="1:3" x14ac:dyDescent="0.25">
      <c r="A6" s="35" t="s">
        <v>256</v>
      </c>
      <c r="B6" s="35" t="s">
        <v>257</v>
      </c>
      <c r="C6" s="37" t="s">
        <v>258</v>
      </c>
    </row>
    <row r="7" spans="1:3" x14ac:dyDescent="0.25">
      <c r="A7" s="35" t="s">
        <v>259</v>
      </c>
      <c r="B7" s="35" t="s">
        <v>92</v>
      </c>
      <c r="C7" s="37" t="s">
        <v>35</v>
      </c>
    </row>
    <row r="8" spans="1:3" x14ac:dyDescent="0.25">
      <c r="A8" s="35" t="s">
        <v>35</v>
      </c>
      <c r="B8" s="35" t="s">
        <v>35</v>
      </c>
      <c r="C8" s="37" t="s">
        <v>35</v>
      </c>
    </row>
    <row r="9" spans="1:3" x14ac:dyDescent="0.25">
      <c r="A9" s="38" t="s">
        <v>260</v>
      </c>
      <c r="B9" s="35" t="s">
        <v>35</v>
      </c>
      <c r="C9" s="37" t="s">
        <v>35</v>
      </c>
    </row>
    <row r="10" spans="1:3" x14ac:dyDescent="0.25">
      <c r="A10" s="35" t="s">
        <v>261</v>
      </c>
      <c r="B10" s="35">
        <v>26</v>
      </c>
      <c r="C10" s="37" t="s">
        <v>262</v>
      </c>
    </row>
    <row r="11" spans="1:3" x14ac:dyDescent="0.25">
      <c r="A11" s="35" t="s">
        <v>263</v>
      </c>
      <c r="B11" s="35" t="s">
        <v>264</v>
      </c>
      <c r="C11" s="37" t="s">
        <v>265</v>
      </c>
    </row>
    <row r="12" spans="1:3" x14ac:dyDescent="0.25">
      <c r="A12" s="35" t="s">
        <v>266</v>
      </c>
      <c r="B12" s="35" t="s">
        <v>267</v>
      </c>
      <c r="C12" s="37" t="s">
        <v>268</v>
      </c>
    </row>
    <row r="13" spans="1:3" x14ac:dyDescent="0.25">
      <c r="A13" s="35" t="s">
        <v>269</v>
      </c>
      <c r="B13" s="35">
        <v>3</v>
      </c>
      <c r="C13" s="37" t="s">
        <v>270</v>
      </c>
    </row>
    <row r="14" spans="1:3" x14ac:dyDescent="0.25">
      <c r="A14" s="35" t="s">
        <v>271</v>
      </c>
      <c r="B14" s="35">
        <v>3</v>
      </c>
      <c r="C14" s="37" t="s">
        <v>272</v>
      </c>
    </row>
    <row r="15" spans="1:3" x14ac:dyDescent="0.25">
      <c r="A15" s="35" t="s">
        <v>273</v>
      </c>
      <c r="B15" s="35" t="s">
        <v>274</v>
      </c>
      <c r="C15" s="37" t="s">
        <v>275</v>
      </c>
    </row>
    <row r="16" spans="1:3" x14ac:dyDescent="0.25">
      <c r="A16" s="35" t="s">
        <v>276</v>
      </c>
      <c r="B16" s="35" t="s">
        <v>277</v>
      </c>
      <c r="C16" s="37" t="s">
        <v>278</v>
      </c>
    </row>
    <row r="17" spans="1:3" x14ac:dyDescent="0.25">
      <c r="A17" s="35" t="s">
        <v>279</v>
      </c>
      <c r="B17" s="35" t="s">
        <v>280</v>
      </c>
      <c r="C17" s="37" t="s">
        <v>281</v>
      </c>
    </row>
    <row r="20" spans="1:1" x14ac:dyDescent="0.25">
      <c r="A20" s="39" t="s">
        <v>282</v>
      </c>
    </row>
    <row r="21" spans="1:3" x14ac:dyDescent="0.25">
      <c r="A21" s="40" t="s">
        <v>283</v>
      </c>
      <c r="B21" s="40"/>
      <c r="C21" s="40"/>
    </row>
    <row r="22" spans="1:3" x14ac:dyDescent="0.25">
      <c r="A22" s="40" t="s">
        <v>284</v>
      </c>
      <c r="B22" s="40"/>
      <c r="C22" s="40"/>
    </row>
    <row r="23" spans="1:3" x14ac:dyDescent="0.25">
      <c r="A23" s="40" t="s">
        <v>285</v>
      </c>
      <c r="B23" s="40"/>
      <c r="C23" s="40"/>
    </row>
    <row r="24" spans="1:3" x14ac:dyDescent="0.25">
      <c r="A24" s="40" t="s">
        <v>286</v>
      </c>
      <c r="B24" s="40"/>
      <c r="C24" s="40"/>
    </row>
    <row r="25" spans="1:3" x14ac:dyDescent="0.25">
      <c r="A25" s="40" t="s">
        <v>287</v>
      </c>
      <c r="B25" s="40"/>
      <c r="C25" s="40"/>
    </row>
    <row r="26" spans="1:3" x14ac:dyDescent="0.25">
      <c r="A26" s="40" t="s">
        <v>288</v>
      </c>
      <c r="B26" s="40"/>
      <c r="C26" s="40"/>
    </row>
    <row r="27" spans="1:3" x14ac:dyDescent="0.25">
      <c r="A27" s="40" t="s">
        <v>289</v>
      </c>
      <c r="B27" s="40"/>
      <c r="C27" s="40"/>
    </row>
    <row r="28" spans="1:3" x14ac:dyDescent="0.25">
      <c r="A28" s="40" t="s">
        <v>290</v>
      </c>
      <c r="B28" s="40"/>
      <c r="C28" s="40"/>
    </row>
    <row r="29" spans="1:3" x14ac:dyDescent="0.25">
      <c r="A29" s="40" t="s">
        <v>291</v>
      </c>
      <c r="B29" s="40"/>
      <c r="C29" s="40"/>
    </row>
    <row r="30" spans="1:3" x14ac:dyDescent="0.25">
      <c r="A30" s="40" t="s">
        <v>292</v>
      </c>
      <c r="B30" s="40"/>
      <c r="C30" s="40"/>
    </row>
    <row r="31" spans="1:3" x14ac:dyDescent="0.25">
      <c r="A31" s="40" t="s">
        <v>293</v>
      </c>
      <c r="B31" s="40"/>
      <c r="C31" s="40"/>
    </row>
    <row r="32" spans="1:3" x14ac:dyDescent="0.25">
      <c r="A32" s="40" t="s">
        <v>294</v>
      </c>
      <c r="B32" s="40"/>
      <c r="C32" s="40"/>
    </row>
    <row r="33" spans="1:3" x14ac:dyDescent="0.25">
      <c r="A33" s="40" t="s">
        <v>295</v>
      </c>
      <c r="B33" s="40"/>
      <c r="C33" s="40"/>
    </row>
    <row r="34" spans="1:3" x14ac:dyDescent="0.25">
      <c r="A34" s="40" t="s">
        <v>296</v>
      </c>
      <c r="B34" s="40"/>
      <c r="C34" s="40"/>
    </row>
    <row r="35" spans="1:3" x14ac:dyDescent="0.25">
      <c r="A35" s="40" t="s">
        <v>297</v>
      </c>
      <c r="B35" s="40"/>
      <c r="C35" s="40"/>
    </row>
  </sheetData>
  <mergeCells count="15"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Module_Planification</vt:lpstr>
      <vt:lpstr>Global_PRS2</vt:lpstr>
      <vt:lpstr>Jalons</vt:lpstr>
      <vt:lpstr>Parametres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generer_chronogramme.mjs</dc:creator>
  <dc:title/>
  <dc:subject/>
  <dc:description/>
  <cp:keywords/>
  <cp:category/>
  <cp:lastModifiedBy>Unknown</cp:lastModifiedBy>
  <dcterms:created xsi:type="dcterms:W3CDTF">2026-08-26T00:00:00Z</dcterms:created>
  <dcterms:modified xsi:type="dcterms:W3CDTF">2026-08-26T10:39:39Z</dcterms:modified>
</cp:coreProperties>
</file>