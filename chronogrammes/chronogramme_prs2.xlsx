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odule_Planification" state="visible" r:id="rId4"/>
    <sheet sheetId="2" name="Global_PRS2" state="visible" r:id="rId5"/>
    <sheet sheetId="3" name="Jalons" state="visible" r:id="rId6"/>
    <sheet sheetId="4" name="Parametres" state="visible" r:id="rId7"/>
  </sheets>
  <calcPr calcId="171027"/>
</workbook>
</file>

<file path=xl/sharedStrings.xml><?xml version="1.0" encoding="utf-8"?>
<sst xmlns="http://schemas.openxmlformats.org/spreadsheetml/2006/main" count="488" uniqueCount="300">
  <si>
    <t>PRS 2.0 — Module 1 : socle transversal et dossiers de planification (Gantt hebdomadaire)</t>
  </si>
  <si>
    <t>Arrêté au 01/09/2026 · 27 lignes · démarrage 17/06/2026 · échéance 18/09/2026</t>
  </si>
  <si>
    <t>ID</t>
  </si>
  <si>
    <t>Activité</t>
  </si>
  <si>
    <t>Livrable</t>
  </si>
  <si>
    <t>Responsable</t>
  </si>
  <si>
    <t>Statut</t>
  </si>
  <si>
    <t>%</t>
  </si>
  <si>
    <t>Début</t>
  </si>
  <si>
    <t>Fin</t>
  </si>
  <si>
    <t>Durée (j)</t>
  </si>
  <si>
    <t>Dépend.</t>
  </si>
  <si>
    <t>Jalon</t>
  </si>
  <si>
    <t>Critique</t>
  </si>
  <si>
    <t>Preuve / constat</t>
  </si>
  <si>
    <t>S1</t>
  </si>
  <si>
    <t>S2</t>
  </si>
  <si>
    <t>S3</t>
  </si>
  <si>
    <t>S4</t>
  </si>
  <si>
    <t>S5</t>
  </si>
  <si>
    <t>S6</t>
  </si>
  <si>
    <t>S7</t>
  </si>
  <si>
    <t>S8</t>
  </si>
  <si>
    <t>S9</t>
  </si>
  <si>
    <t>S10</t>
  </si>
  <si>
    <t>S11</t>
  </si>
  <si>
    <t>S12</t>
  </si>
  <si>
    <t>S13</t>
  </si>
  <si>
    <t>S14</t>
  </si>
  <si>
    <t>—</t>
  </si>
  <si>
    <t>A01</t>
  </si>
  <si>
    <t>Socle d'authentification et d'habilitations</t>
  </si>
  <si>
    <t>Connexion, contrôle d'accès par profil et par entité, socle commun d'appel à l'API</t>
  </si>
  <si>
    <t>Mr Lanto</t>
  </si>
  <si>
    <t>termine</t>
  </si>
  <si>
    <t/>
  </si>
  <si>
    <t>◆ oui</t>
  </si>
  <si>
    <t>commit 62f5f9a (17/06) — création de core/auth/{auth.service,auth.guard,permissions.service,permissions}.ts et services/api/crud.service.ts ; couvert par auth.service.spec.ts, auth.guard.spec.ts, permissions.service.spec.ts (suite complète 85/85 au vert, `ng test` du 26/08)</t>
  </si>
  <si>
    <t>A02</t>
  </si>
  <si>
    <t>Circuit d'instruction d'un dossier, du dépôt au procès-verbal</t>
  </si>
  <si>
    <t>Enchaînement dépôt → réception → affectation → examen → procès-verbal, et les écrans des six profils qui l'exercent</t>
  </si>
  <si>
    <t>Mr Mathieu</t>
  </si>
  <si>
    <t>commit 62f5f9a (17/06) — shared/circuit/{circuit-workflow,pv-workflow,circuit-timeline,statut-badge}.ts + circuit-workflow.spec.ts ; features/circuit/{dispatch-form,dossier-consultation,dossiers-pipeline}.ts ; features/membre/{examen-dossier,pv-page}.ts ; features/secretaire/{receptions,enregistrement}.ts ; complété par les 4 commits du 18/06 (worklists de vérification)</t>
  </si>
  <si>
    <t>A03</t>
  </si>
  <si>
    <t>Retrait d'un dossier et décision du contrôleur</t>
  </si>
  <si>
    <t>Écran de demande pour l'autorité contractante, écran de décision pour le Président et le Chef de commission, retrait bloqué dès la signature du procès-verbal</t>
  </si>
  <si>
    <t>features/circuit/retraits-validation.ts créé le 18/06 ; features/cc/retraits-decision.ts et features/prmp/retraits.ts au commit initial ; règle « retrait impossible dès PV_SIGNE » (409) — commits du 23/06 « message liste vide explicite + erreur 409 dédiée »</t>
  </si>
  <si>
    <t>A04</t>
  </si>
  <si>
    <t>Rectification par l'autorité contractante et navette de vérification</t>
  </si>
  <si>
    <t>Renvoi d'un dossier pour rectification, fil des échanges entre le vérificateur et l'autorité contractante, reprise de l'instruction après correction</t>
  </si>
  <si>
    <t>12 commits du 19/06 (« statut EN_ATTENTE_DECISION_PRMP (obs non levées) bout-en-bout », « resoumission après rectification ») ; création de features/prmp/dossiers-a-rectifier.ts et features/verificateur/en-attente-prmp.ts le 19/06</t>
  </si>
  <si>
    <t>A05</t>
  </si>
  <si>
    <t>Lettre de renvoi et intervention de l'assistant contrôleur</t>
  </si>
  <si>
    <t>Seconde issue de l'examen à côté du procès-verbal : rédaction, mise à la signature et consultation de la lettre de renvoi</t>
  </si>
  <si>
    <t>J1</t>
  </si>
  <si>
    <t>features/membre/lettre-renvois.ts créé le 24/06 ; features/circuit/{pv-assistant,lettre-renvoi-consultation}.ts et features/assistant/assistant.routes.ts créés le 25/06 ; 8 commits du 25/06</t>
  </si>
  <si>
    <t>◆</t>
  </si>
  <si>
    <t>A06</t>
  </si>
  <si>
    <t>Charte graphique et harmonisation de tous les écrans</t>
  </si>
  <si>
    <t>Jeu commun de composants, de couleurs et de typographies, appliqué aux écrans des neuf espaces de travail</t>
  </si>
  <si>
    <t>Mr Christian</t>
  </si>
  <si>
    <t>50 commits le 26/06/2026 — pic d'activité du dépôt — dont 18 intitulés « migrer … vers le design system » (layout, PRMP, circuit, CRUD, secrétaire, président, pilotage, admin, auth) ; création de src/styles/_design-system.scss</t>
  </si>
  <si>
    <t>A07</t>
  </si>
  <si>
    <t>Compteurs de menu et tableaux de bord par profil</t>
  </si>
  <si>
    <t>Nombre de dossiers en attente affiché sur chaque entrée de menu, tableau de bord des indicateurs et écran de rapports</t>
  </si>
  <si>
    <t>13 commits du 29/06 (« compteurs du menu PRMP / Vérificateur / Secrétaire », « compteurs scopés par localité pour le CC ») ; features/pilotage/{kpi-dashboard,rapports-page}.ts et shared/dashboard/dashboard-shell.ts ; endpoint agrégé GET /api/kpis/badges livré au commit fad4ca7</t>
  </si>
  <si>
    <t>A08</t>
  </si>
  <si>
    <t>Administration des référentiels</t>
  </si>
  <si>
    <t>Écrans de gestion des entités contractantes, des autorités de passation, des unités de gestion, des pièces exigées et des modes de passation</t>
  </si>
  <si>
    <t>features/admin/admin-resources.config.ts (~600 lignes) et admin.routes.ts (21 `loadComponent`) ; ugpm-admin.ts créé le 06/07 ; controleur-admin.ts, prmp-admin.ts, inscriptions-admin.ts, prmp-pieces-admin.ts, ugpm-pieces-admin.ts, dmc-mapping-admin.ts créés le 16/07</t>
  </si>
  <si>
    <t>A09</t>
  </si>
  <si>
    <t>Saisie du plan de passation et reprise automatique du document PDF</t>
  </si>
  <si>
    <t>Grille de saisie des lignes de marché, import d'un plan au format PDF avec revue ligne à ligne, calendrier prévisionnel par processus de passation</t>
  </si>
  <si>
    <t>20 commits du 23/06 (dates prévisionnelles par marché, référentiel CAPM, cohérence chronologique) ; shared/prmp/ppm-marches-table.ts créé le 05/07 ; ppm-form-factory.ts et ppm-saisie-grid.ts créés le 23/07 (« grille de saisie riche partagée », « soumettre consomme la grille partagée ») ; UI d'import .xlsx retirée volontairement le 22/07</t>
  </si>
  <si>
    <t>A10</t>
  </si>
  <si>
    <t>Typologie des dossiers : familles et sous-types</t>
  </si>
  <si>
    <t>Choix de la famille au dépôt (planification, mise en concurrence, marché), sous-type déterminé par le serveur, grille de points de contrôle propre à chaque sous-type</t>
  </si>
  <si>
    <t>A08, A09</t>
  </si>
  <si>
    <t>features/prmp/{dossiers-liste,mes-dossiers}.ts créés le 16/07 ; soumettre-dossier.ts:57-61 (`type FamilleDossier = 'DMC' | 'DDM'`) et :947-960 ; models/referentiel.model.ts:184-198 (tr_type_dossier, tr_sous_type_dossier) ; models/circuit.model.ts:13-15</t>
  </si>
  <si>
    <t>A11</t>
  </si>
  <si>
    <t>Rattachement de l'entité contractante au dépôt d'un dossier</t>
  </si>
  <si>
    <t>Reconnaissance ou création de l'entité au moment de l'import, approbation par l'administrateur, localité du dossier déduite de l'entité</t>
  </si>
  <si>
    <t>20 commits le 26/07/2026 (dimanche) : « création d'une entité contractante à l'import », « écran Rattachements en attente », « localité de l'entité → localité du dossier dérivée » ; features/admin/rattachements-admin.ts créé le 26/07</t>
  </si>
  <si>
    <t>A12</t>
  </si>
  <si>
    <t>Files de travail « Mes dossiers » de chaque profil</t>
  </si>
  <si>
    <t>Écran unique par profil regroupant les dossiers à traiter, classés par étape ; vue de la charge par contrôleur pour le Président</t>
  </si>
  <si>
    <t>A10, A11</t>
  </si>
  <si>
    <t>J2</t>
  </si>
  <si>
    <t>features/circuit/{dossiers-classement,dossiers-circuit-liste}.ts créés le 26/07 ; features/president/dispatchs-controleurs.ts créé le 27/07 ; 20 commits du 27/07, dont « écrans redondants supprimés — files d'examen dans Mes dossiers »</t>
  </si>
  <si>
    <t>A13</t>
  </si>
  <si>
    <t>Interruption : chantier parallèle et attente du backend</t>
  </si>
  <si>
    <t>Aucun — période sans production sur ce dépôt</t>
  </si>
  <si>
    <t>Mr Lanto, Mr Mathieu, Mr Christian</t>
  </si>
  <si>
    <t>0 commit du 28/07/2026 au 10/08/2026 inclus (`git log --pretty=%ad --date=short | sort | uniq -c`) — période qualifiée par le pilote le 26/08 : chantier parallèle / attente</t>
  </si>
  <si>
    <t>A14</t>
  </si>
  <si>
    <t>Délégation ascendante et mandats des autorités de passation</t>
  </si>
  <si>
    <t>Exercice des tâches d'un profil subordonné par son supérieur, journal des mandats et signalement des périodes de vacance</t>
  </si>
  <si>
    <t>A01, A12</t>
  </si>
  <si>
    <t>features/admin/mandats-admin.ts et core/vacance/vacance.store.ts créés le 12/08 ; commit du 14/08 « délégation ascendante pilotée par les données (t_delegation_profil) » puis « écrans des subordonnés chez Président/CC (Lot 2) » ; ba9aa97 (15/08) interrupteurs « Délégations »</t>
  </si>
  <si>
    <t>A15</t>
  </si>
  <si>
    <t>Notifications en temps réel</t>
  </si>
  <si>
    <t>Alerte immédiate à l'écran, compteur de messages non lus et écran de consultation ouvert aux dix profils</t>
  </si>
  <si>
    <t>core/notifications/notification-route.ts et features/transverse/notifications-page.ts créés le 11/08 (« clic → écran d'action, mapping type × rôle ») ; notifications.store.ts créé le 15/08 au commit 9552c0c</t>
  </si>
  <si>
    <t>A16</t>
  </si>
  <si>
    <t>Observations du procès-verbal et navette après signature</t>
  </si>
  <si>
    <t>Suivi de chaque observation jusqu'à sa levée, décisions du vérificateur, réexamen d'un dossier rectifié, formulaire de réception commun aux profils</t>
  </si>
  <si>
    <t>A02, A09</t>
  </si>
  <si>
    <t>commits du 15/08 : ce4e875 (cartes d'observation + passage vérificateur par décisions), 018ffae (table PPM commune, mise à jour par import, pièces au dépôt), f6db187 (navette post-signature : archivage, réexamen), 7dbb42d (formulaire de réception partagé) ; création de shared/circuit/observation-pv-card.ts, features/circuit/reception-form.ts, features/prmp/{completer-pieces-depot-modal,mise-a-jour-ppm}.ts</t>
  </si>
  <si>
    <t>A17</t>
  </si>
  <si>
    <t>Traitement des constats de l'audit technique</t>
  </si>
  <si>
    <t>Correction des 35 constats de sécurité, d'accessibilité, de performance et de dépendances, chacun vérifié et tracé dans AUDIT.md</t>
  </si>
  <si>
    <t>en_retard</t>
  </si>
  <si>
    <t>AUDIT.md §3 dénombre 35 constats (S1-S13, P1-P11, A1-A7, T1-T3, D1), auxquels s'ajoute C-1 issu du nouvel audit global du 27/08 — soit 36. Clos et vérifiés : 31. Chantiers du 27/08 (AUDIT.md, deux entrées) : les 124 avertissements ESLint d'accessibilité soldés (6523668 → 1d097e5, 8 commits, 34 fichiers — le clic sur le voile passe dans la directive appModale) ; P1 ENFIN ADOPTÉ (238293b → b103221, 20 commits : recherche de la topbar résolue côté serveur, « Mes dossiers » et pipeline paginés, rendu incrémental des trois files sans endpoint paginé) ; P9 étendu ; C-1 clos le jour même. S9 CLOS le 31/08 (ffd84a8) : rendu sans objet par le retrait des interrupteurs de délégation (23d7e7f, 28/08) — la clé n'est plus écrite, purge au logout, cinq mentions annotées dans AUDIT.md. Restent ouverts : A2b, S12, P10, T1 (entamé), T3 = 5. Avancement = 31/36 = 86 % (était 30/36 = 83 % au 28/08).</t>
  </si>
  <si>
    <t>A18</t>
  </si>
  <si>
    <t>Sécurisation de la session par cookie</t>
  </si>
  <si>
    <t>Session portée par un cookie inaccessible au JavaScript, application et API servies sous la même origine, plus aucun jeton conservé dans le navigateur</t>
  </si>
  <si>
    <t>J3</t>
  </si>
  <si>
    <t>commits 7a252af (phase 0 — proxy /api, URL relative) et 7cbaf14 (phase 2 — session cookie) du 17/08 ; recette 7/7 points rejouée après le flip et parcours métier vérifié sur les 6 profils, tracée dans AUDIT.md ; proxy.conf.json et CLAUDE.md § « Backend associé — MÊME ORIGINE »</t>
  </si>
  <si>
    <t>A19</t>
  </si>
  <si>
    <t>Actualités présentées à la connexion</t>
  </si>
  <si>
    <t>Message d'information affiché à l'ouverture de session, écran d'administration pour le rédiger et le cibler par profil, et le service qui le délivre</t>
  </si>
  <si>
    <t>Front : commit 9faaa14 (19/08) « modal à la connexion + administration » — shared/actualites/{actualites-modal,markdown,markdown-vue}.ts + markdown.spec.ts, services/actualite.services.ts, features/admin/actualites-admin.ts. API : commit backend 51620f4 du 19/08 également (dépôt PRS20) — ActualiteController, ActualiteDto, entités Actualite / ActualiteImage / ActualiteProfil, enum StatutActualite, tous suivis par git. CORRECTION DU 28/08 : l'activité était portée à 50 % au motif que l'API n'était pas versionnée. C'était exact au moment où docs/demande-backend-2026-08-19.md a été écrit, en cours de journée, mais le backend a commité le soir même — le document décrivait une situation en vol, pas un état final. Leçon : vérifier le dépôt concerné, pas la demande qui lui a été adressée.</t>
  </si>
  <si>
    <t>A20</t>
  </si>
  <si>
    <t>Consultation du plan de passation en onglets</t>
  </si>
  <si>
    <t>Fiche de dossier réorganisée en trois onglets, avec les unités de gestion rattachées enfin visibles par les contrôleurs</t>
  </si>
  <si>
    <t>A09, A14</t>
  </si>
  <si>
    <t>commits du 19/08 (« le détail du plan de passation se lit en trois onglets », f2bca57 « fin du 403 silencieux sur les UGPM ») et du 20/08 (« onglet d'identités réservé aux profils qui découvrent le dossier », « les contrôleurs voient enfin les unités de gestion rattachées ») — 3 derniers commits du dépôt</t>
  </si>
  <si>
    <t>A21</t>
  </si>
  <si>
    <t>Tests automatisés et intégration continue</t>
  </si>
  <si>
    <t>Suite de tests unitaires, exécution automatique à chaque livraison, scénarios de bout en bout versionnés dans le dépôt</t>
  </si>
  <si>
    <t>136 tests / 15 fichiers, 100 % au vert (`npx ng test --watch=false`, exécuté le 01/09 — était 106 / 12 au 28/08). Progression tracée dans AUDIT.md : 42 → 83 (19/08) → 93 (a11y du 27/08) → 106 (recherche serveur et pagination, 238293b) → 136 (visa unique : peutViser et la machine d'états couverts, 9e2f2cf). La CI exécute aussi ESLint 9 (.github/workflows/ci.yml). Constats « Tests » : T2 clos (CI, b350579 du 17/08), T1 toujours ENTAMÉ (couverture ni mesurée ni au niveau visé), T3 toujours OUVERT — les recettes Playwright du 01/09 (visa, intérim, chaînes de contrôle : 22/22, 31/31, 16/16) ont tourné depuis le répertoire de session, AUCUN scénario n'est versionné dans le dépôt. Avancement = 1 constat clos sur 3.</t>
  </si>
  <si>
    <t>A26</t>
  </si>
  <si>
    <t>Polissage du module « Dossiers de planification »</t>
  </si>
  <si>
    <t>Reprise de finition des écrans de planification, avant que le développement ne redémarre</t>
  </si>
  <si>
    <t>A09, A16, A20</t>
  </si>
  <si>
    <t>Fenêtre du 24 au 28/08 révolue à l'arrêté du 01/09, développement repris (7c89f00 le 28/08 au soir — A27). Travail versionné : sortie des sous-dialogues du détail PPM (7dfc4d8, bf991eb, 2faf937, f5cf8ec), pagination serveur de « Mes dossiers » (2f51efa), voiles de modales rendus au décor (9bcf8e3), 39 commits entre le 20 et le 28/08.</t>
  </si>
  <si>
    <t>A27</t>
  </si>
  <si>
    <t>Visa du procès-verbal et chaînes de contrôle nominatives</t>
  </si>
  <si>
    <t>Avis émis par le Membre dès l'examen, clôture de la navette en un seul visa réservé au dispatcheur, suppléance par intérim justifiée par une note, et rattachements Membre → Vérificateur → Assistant ciblant la vérification et l'archivage</t>
  </si>
  <si>
    <t>A14, A16</t>
  </si>
  <si>
    <t>Front : 7c89f00+0117b57 (co-signataire désigné, 28-30/08), 9e2f2cf (visa unique — avis du Membre à la soumission, visa du dispatcheur), e24c767 (visa par intérim, note PDF), 1934f6d+3eac6d8 (chaînes de contrôle : écran Admin/P/CC, files ciblées) — le backend PRS20 a livré en miroir jusqu'à f7cfe66. Recettes RÉELLES du 01/09 : PV#8 (visa normal) et PV#9 (visa par intérim) signés de bout en bout, chaînes posées à l'écran (16/16) ; e2e Playwright par interception 22/22 puis 31/31 ; en prime, cause racine CSRF (rotation du jeton × rafales) prouvée côté front et corrigée côté serveur, contre-recettée 4/4.</t>
  </si>
  <si>
    <t>A22</t>
  </si>
  <si>
    <t>Délais réglementaires d'instruction</t>
  </si>
  <si>
    <t>Décompte du délai légal sur chaque dossier, alerte à l'approche de l'échéance et signalement des dépassements</t>
  </si>
  <si>
    <t>a_venir</t>
  </si>
  <si>
    <t>A02, A26, A27</t>
  </si>
  <si>
    <t>Absent du code : 0 occurrence de `ALERTE_DELAI` dans src/ alors que docs/regles-gestion.md:370 et :485 la spécifient. Le seul dispositif temporel livré est features/prmp/calendrier-marches.ts — jalons CAPM du plan de l'autorité contractante (imminent / en retard), et non le délai d'instruction du contrôleur. Trois indicateurs déjà modélisés en dépendent : delaiMoyenExamen, delaiMoyenJours, delaiMoyCorrectionJours (models/pilotage.model.ts:85,101,116).</t>
  </si>
  <si>
    <t>A23</t>
  </si>
  <si>
    <t>Indicateurs de performance des contrôleurs et des autorités de passation</t>
  </si>
  <si>
    <t>Deux écrans de restitution : activité et conformité par contrôleur, puis par autorité de passation et par exercice budgétaire</t>
  </si>
  <si>
    <t>A07, A26, A27</t>
  </si>
  <si>
    <t>IndicateurCtrl et IndicateurPrmp sont modélisés (models/pilotage.model.ts:76-116) et servis (services/pilotage.services.ts) mais aucun écran ne les affiche. SNAPSHOT_STATS_CONFIG n'est plus référencé par aucune route (pilotage-resources.config.ts:6-11). Livrés par A07 : 3 écrans sur les 5 dénombrés.</t>
  </si>
  <si>
    <t>A24</t>
  </si>
  <si>
    <t>Consultation du journal d'audit</t>
  </si>
  <si>
    <t>Écran de recherche du journal, filtrable par acteur, dossier, période et nature de l'action</t>
  </si>
  <si>
    <t>Livré le 27/08, en avance sur la date proposée (31/08) et sans attendre la fin du polissage : commit ad40144 « le journal d'audit se lit page par page, filtré par table, acteur et période ». Écran dédié features/admin/audit-logs-admin.ts, routé en admin.routes.ts:87 — il remplace le CRUD générique qui demandait la table entière (constat C-1 du nouvel audit du 27/08). État d'erreur avec reprise branché au passage (constat P9). AUDIT.md, entrée du 27/08.</t>
  </si>
  <si>
    <t>A25</t>
  </si>
  <si>
    <t>Recette et livraison du module 1</t>
  </si>
  <si>
    <t>Procès-verbal de recette signé et mise en production du module de planification</t>
  </si>
  <si>
    <t>A17, A19, A21, A22, A23, A24</t>
  </si>
  <si>
    <t>J4</t>
  </si>
  <si>
    <t>Dates du 26/08 CONSERVÉES (14 → 18/09) mais désormais EN CONFLIT avec A22 décalée (fin 15/09) : le générateur le signale. Voir la note de A22 — l'arbitrage (compression, chevauchement ou décalage d'échéance) appartient au pilote. Dates PROPOSÉES.</t>
  </si>
  <si>
    <t>▲ 01/09/2026</t>
  </si>
  <si>
    <t>▲</t>
  </si>
  <si>
    <t>Légende</t>
  </si>
  <si>
    <t>Terminé</t>
  </si>
  <si>
    <t>En cours</t>
  </si>
  <si>
    <t>À venir</t>
  </si>
  <si>
    <t>En retard</t>
  </si>
  <si>
    <t>◆ jalon      ▲ / trait orange : date d’arrêté (« aujourd’hui »)</t>
  </si>
  <si>
    <t>◆ en colonne « Critique » : activité du chemin critique</t>
  </si>
  <si>
    <t>PRS 2.0 — Vue globale des 4 modules (Gantt mensuel)</t>
  </si>
  <si>
    <t>Arrêté au 01/09/2026 · 6 lignes · démarrage 17/06/2026 · échéance 18/09/2026</t>
  </si>
  <si>
    <t>M1</t>
  </si>
  <si>
    <t>M2</t>
  </si>
  <si>
    <t>M3</t>
  </si>
  <si>
    <t>M4</t>
  </si>
  <si>
    <t>M5</t>
  </si>
  <si>
    <t>M6</t>
  </si>
  <si>
    <t>M7</t>
  </si>
  <si>
    <t>M8</t>
  </si>
  <si>
    <t>M9</t>
  </si>
  <si>
    <t>M10</t>
  </si>
  <si>
    <t>G01</t>
  </si>
  <si>
    <t>Module 1 — Socle transversal et dossiers de planification</t>
  </si>
  <si>
    <t>Authentification, habilitations, référentiels, circuit d'instruction, délais réglementaires, notifications, journal d'audit et tableaux de bord — appliqués au contrôle des plans de passation</t>
  </si>
  <si>
    <t>en_cours</t>
  </si>
  <si>
    <t>Inventaire des 14 fonctions du module 1, réexaminé le 28/08 : 12 implémentées (authentification, habilitations, référentiels, dépôt, complétude, affectation, instruction, visa, navette, notifications, journal d'audit, actualités), 1 partielle (statistiques — les écrans d'indicateurs par contrôleur et par autorité de passation manquent, cf. A23), 1 absente (délais réglementaires, cf. A22). Avancement = (12×100 + 1×50 + 1×0) / 14 = 89 %. Deux fonctions ont changé de statut depuis le 26/08 : le journal d'audit passe de partielle à implémentée (écran dédié livré le 27/08, A24) et les actualités de partielle à implémentée (l'API backend était en réalité commitée dès le 19/08, A19). Réexaminé le 01/09 : INCHANGÉ à 89 % — le chantier A27 (visa, intérim, chaînes de contrôle) approfondit des fonctions déjà comptées implémentées (visa, navette, habilitations) sans faire bouger les deux manquantes (délais, statistiques). Le détail fonction par fonction est porté par les activités A01 à A27 de ce fichier, chacune avec sa propre preuve — commit, fichier du dépôt (src/app/…) ou exécution de test.</t>
  </si>
  <si>
    <t>G02</t>
  </si>
  <si>
    <t>Recette et mise en production du module 1</t>
  </si>
  <si>
    <t>Procès-verbal de recette, déploiement en production et reprise des réserves</t>
  </si>
  <si>
    <t>Découpage PROPOSÉ — aucun calendrier contractuel au-delà des 3 mois n'est connu.</t>
  </si>
  <si>
    <t>G03</t>
  </si>
  <si>
    <t>Module 2 — Dossiers de mise en concurrence</t>
  </si>
  <si>
    <t>Contrôle des dossiers d'appel à concurrence, des procédures dérogatoires et des rapports d'évaluation</t>
  </si>
  <si>
    <t>J5</t>
  </si>
  <si>
    <t>Amorce constatée dans le dépôt : le dépôt d'un dossier DMC et son passage dans le circuit générique existent (soumettre-dossier.ts:57-61 et :158, models/prmp.model.ts:312 « saisie sans contenu »), mais aucun contenu métier propre au module (rapport d'évaluation, procédure dérogatoire) n'est implémenté.</t>
  </si>
  <si>
    <t>G04</t>
  </si>
  <si>
    <t>Module 3 — Dossiers de marchés</t>
  </si>
  <si>
    <t>Contrôle des projets de marchés et des avenants avant approbation</t>
  </si>
  <si>
    <t>J6</t>
  </si>
  <si>
    <t>Amorce identique à DMC (famille DDM, soumettre-dossier.ts:166) ; aucun projet de marché ni avenant structuré dans le code.</t>
  </si>
  <si>
    <t>G05</t>
  </si>
  <si>
    <t>Module 4 — Actes de gestion contractuelle</t>
  </si>
  <si>
    <t>Contrôle des décisions d'octroi d'indemnité, de sursis d'exécution, de remise de pénalité et de résiliation</t>
  </si>
  <si>
    <t>J7</t>
  </si>
  <si>
    <t>Absent du dépôt : 0 occurrence de « indemnité », « sursis », « pénalité » ou « résiliation » dans src/.</t>
  </si>
  <si>
    <t>G06</t>
  </si>
  <si>
    <t>Recette générale et mise en production de PRS 2.0</t>
  </si>
  <si>
    <t>Recette des quatre modules, reprise des données et déploiement en production</t>
  </si>
  <si>
    <t>G02, G03, G04, G05</t>
  </si>
  <si>
    <t>J8</t>
  </si>
  <si>
    <t>Un mois, durée inchangée : le pilote n'a arbitré que les modules 2, 3 et 4 le 26/08. À revoir si la compression des trois modules reporte de la charge sur la recette globale.</t>
  </si>
  <si>
    <t>PRS 2.0 — Jalons</t>
  </si>
  <si>
    <t>Code</t>
  </si>
  <si>
    <t>Libellé</t>
  </si>
  <si>
    <t>Date cible</t>
  </si>
  <si>
    <t>Critères de validation</t>
  </si>
  <si>
    <t>Preuve</t>
  </si>
  <si>
    <t>◆ J1</t>
  </si>
  <si>
    <t>Circuit d'instruction fonctionnel de bout en bout</t>
  </si>
  <si>
    <t>franchi</t>
  </si>
  <si>
    <t xml:space="preserve">• Un dossier parcourt dépôt → réception → dispatch → examen → PV sans intervention manuelle
• Les deux issues de l'examen sont ouvertes : projet de PV ou lettre de renvoi
• Les 6 profils du circuit disposent de leurs écrans</t>
  </si>
  <si>
    <t>Écrans du circuit et de la lettre de renvoi créés entre le 17/06 et le 25/06 ; circuit-workflow.spec.ts au vert</t>
  </si>
  <si>
    <t>◆ J2</t>
  </si>
  <si>
    <t>Parcours métier complet sur les 6 profils</t>
  </si>
  <si>
    <t xml:space="preserve">• Chaque profil atterrit sur sa file de travail à la connexion
• Les familles DDP / DMC / DDM et les sous-types sont pilotés par référentiel
• L'entité contractante est résolue ou créée au dépôt, avec approbation Admin
• Les écrans redondants sont supprimés au profit de « Mes dossiers »</t>
  </si>
  <si>
    <t>Commits du 26 et 27/07 (40 au total) ; features/circuit/dossiers-classement.ts, features/president/dispatchs-controleurs.ts</t>
  </si>
  <si>
    <t>◆ J3</t>
  </si>
  <si>
    <t>Socle durci : sécurité, accessibilité, session par cookie</t>
  </si>
  <si>
    <t>partiellement_franchi</t>
  </si>
  <si>
    <t xml:space="preserve">• Volet sécurité de l'audit intégralement soldé — ✅ (AUDIT.md : S10 clos le 17/08)
• Aucun jeton côté client, session portée par cookie HttpOnly — ✅ (recette 7/7, 6 profils)
• npm audit sans vulnérabilité ≥ high, bloquant en CI — ✅ (ci.yml)
• Contraste AA sur le texte de l'application — ✅ partiel (114 textes hors seuil → 17)
• 8 constats d'audit restent ouverts : P1, P9, A2b, S9, S12, P10, T1, T3 — ❌</t>
  </si>
  <si>
    <t>AUDIT.md, suivi des corrections du 16 au 19/08 ; commits 787ec4a → 1c4ab1c</t>
  </si>
  <si>
    <t>◆ J4</t>
  </si>
  <si>
    <t>Recette du module 1 — livraison contractuelle</t>
  </si>
  <si>
    <t xml:space="preserve">• Les 14 fonctions du module 1 sont implémentées, dont les délais légaux d'instruction
• Les 35 constats de l'audit technique sont soldés ou explicitement acceptés
• Scénarios e2e versionnés dans le dépôt (constat T3)
• API des actualités commitée et déployable depuis git
• PV de recette signé</t>
  </si>
  <si>
    <t>◆ J5</t>
  </si>
  <si>
    <t>Module 2 — Dossiers de mise en concurrence livré</t>
  </si>
  <si>
    <t>• À définir avec la maîtrise d'ouvrage — aucune spécification dans le dépôt</t>
  </si>
  <si>
    <t>◆ J6</t>
  </si>
  <si>
    <t>Module 3 — Dossiers de marchés livré</t>
  </si>
  <si>
    <t>◆ J7</t>
  </si>
  <si>
    <t>Module 4 — Actes livré</t>
  </si>
  <si>
    <t>◆ J8</t>
  </si>
  <si>
    <t>Mise en production PRS 2.0</t>
  </si>
  <si>
    <t>• À définir avec la maîtrise d'ouvrage</t>
  </si>
  <si>
    <t>Paramètre</t>
  </si>
  <si>
    <t>Valeur</t>
  </si>
  <si>
    <t>Commentaire</t>
  </si>
  <si>
    <t>Date de démarrage</t>
  </si>
  <si>
    <t>ANCRE du classeur : toutes les dates des autres onglets sont des formules « =Parametres!$B$2 + n ». Modifier cette cellule décale le calendrier ; relancer le script pour recalculer les couleurs des barres.</t>
  </si>
  <si>
    <t>Date d'arrêté</t>
  </si>
  <si>
    <t>Date d'observation — sert à la détection des retards et à la ligne « aujourd'hui ».</t>
  </si>
  <si>
    <t>Date de fin contractuelle</t>
  </si>
  <si>
    <t>Échéance. Écart au démarrage : 93 jours calendaires.</t>
  </si>
  <si>
    <t>Jours ouvrés</t>
  </si>
  <si>
    <t>oui</t>
  </si>
  <si>
    <t>Week-ends exclus du calcul des durées.</t>
  </si>
  <si>
    <t>Jours fériés exclus</t>
  </si>
  <si>
    <t>2026-06-26, 2026-08-15</t>
  </si>
  <si>
    <t>Renseignés dans activites.yaml → parametres.jours_feries.</t>
  </si>
  <si>
    <t>Équipe</t>
  </si>
  <si>
    <t>SYNTHÈSE</t>
  </si>
  <si>
    <t>Activités module 1</t>
  </si>
  <si>
    <t>22 terminées · 0 en cours · 3 à venir</t>
  </si>
  <si>
    <t>Avancement pondéré (durées)</t>
  </si>
  <si>
    <t>83 %</t>
  </si>
  <si>
    <t>Σ(avancement × durée) / Σ(durée) sur le module 1.</t>
  </si>
  <si>
    <t>Avancement module 1 déclaré</t>
  </si>
  <si>
    <t>89 %</t>
  </si>
  <si>
    <t>Valeur portée par la ligne globale, adossée à sa preuve.</t>
  </si>
  <si>
    <t>Activités en retard</t>
  </si>
  <si>
    <t>A17, A21</t>
  </si>
  <si>
    <t>Jalons franchis</t>
  </si>
  <si>
    <t>J1, J2, J3</t>
  </si>
  <si>
    <t>Prochaine échéance</t>
  </si>
  <si>
    <t>18/09/2026</t>
  </si>
  <si>
    <t>J4 — Recette du module 1 — livraison contractuelle (dans 17 jours)</t>
  </si>
  <si>
    <t>Chemin critique — module 1</t>
  </si>
  <si>
    <t>A01 → A02 → A09 → A10 → A12 → A14 → A20 → A26 → A22 → A25</t>
  </si>
  <si>
    <t>10 activités.</t>
  </si>
  <si>
    <t>Chemin critique — global</t>
  </si>
  <si>
    <t>G01 → G03 → G04 → G05 → G06</t>
  </si>
  <si>
    <t>5 lignes.</t>
  </si>
  <si>
    <t>AVERTISSEMENTS (15)</t>
  </si>
  <si>
    <t>• A06 : début déclaré le 26/06/2026 (jour non ouvré) → décalé au 29/06/2026.</t>
  </si>
  <si>
    <t>• A02 : démarre le 17/06/2026, avant la fin de sa dépendance A01 (19/06/2026) — chevauchement assumé, non replanifié.</t>
  </si>
  <si>
    <t>• A03 : démarre le 18/06/2026, avant la fin de sa dépendance A02 (25/06/2026) — chevauchement assumé, non replanifié.</t>
  </si>
  <si>
    <t>• A04 : démarre le 19/06/2026, avant la fin de sa dépendance A02 (25/06/2026) — chevauchement assumé, non replanifié.</t>
  </si>
  <si>
    <t>• A05 : démarre le 24/06/2026, avant la fin de sa dépendance A02 (25/06/2026) — chevauchement assumé, non replanifié.</t>
  </si>
  <si>
    <t>• A07 : démarre le 29/06/2026, avant la fin de sa dépendance A06 (30/06/2026) — chevauchement assumé, non replanifié.</t>
  </si>
  <si>
    <t>• A09 : démarre le 23/06/2026, avant la fin de sa dépendance A02 (25/06/2026) — chevauchement assumé, non replanifié.</t>
  </si>
  <si>
    <t>• A10 : démarre le 16/07/2026, avant la fin de sa dépendance A08 (16/07/2026) — chevauchement assumé, non replanifié.</t>
  </si>
  <si>
    <t>• A10 : démarre le 16/07/2026, avant la fin de sa dépendance A09 (27/07/2026) — chevauchement assumé, non replanifié.</t>
  </si>
  <si>
    <t>• A11 : démarre le 27/07/2026, avant la fin de sa dépendance A09 (27/07/2026) — chevauchement assumé, non replanifié.</t>
  </si>
  <si>
    <t>• A12 : démarre le 27/07/2026, avant la fin de sa dépendance A10 (27/07/2026) — chevauchement assumé, non replanifié.</t>
  </si>
  <si>
    <t>• A12 : démarre le 27/07/2026, avant la fin de sa dépendance A11 (27/07/2026) — chevauchement assumé, non replanifié.</t>
  </si>
  <si>
    <t>• A17 : statut déclaré « en_cours », calculé « en_retard » (fin 19/08/2026, avancement 86 %).</t>
  </si>
  <si>
    <t>• A21 : statut déclaré « en_cours », calculé « en_retard » (fin 19/08/2026, avancement 33 %).</t>
  </si>
  <si>
    <t>• A25 : démarre le 14/09/2026, avant la fin de sa dépendance A22 (15/09/2026) — chevauchement assumé, non replanifié.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</si>
</sst>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
    <numFmt numFmtId="165" formatCode="0 %"/>
    <numFmt numFmtId="166" formatCode="dd/mm/yyyy"/>
  </numFmts>
  <fonts count="21" x14ac:knownFonts="1">
    <font>
      <color theme="1"/>
      <family val="2"/>
      <scheme val="minor"/>
      <sz val="11"/>
      <name val="Calibri"/>
    </font>
    <font>
      <b/>
      <color rgb="FF1E293B"/>
      <sz val="14"/>
    </font>
    <font>
      <i/>
      <color rgb="FF475569"/>
      <sz val="10"/>
    </font>
    <font>
      <b/>
      <color rgb="FFFFFFFF"/>
      <sz val="10"/>
    </font>
    <font>
      <color rgb="FF475569"/>
      <sz val="8"/>
    </font>
    <font>
      <b/>
      <color rgb="FFB45309"/>
      <sz val="9"/>
    </font>
    <font>
      <sz val="9"/>
    </font>
    <font>
      <b/>
      <color rgb="FF16A34A"/>
      <sz val="9"/>
    </font>
    <font>
      <b/>
      <color rgb="FFFFFFFF"/>
      <sz val="11"/>
    </font>
    <font>
      <b/>
      <color rgb="FFDC2626"/>
      <sz val="9"/>
    </font>
    <font>
      <b/>
      <color rgb="FF111827"/>
      <sz val="11"/>
    </font>
    <font>
      <b/>
      <color rgb="FF9CA3AF"/>
      <sz val="9"/>
    </font>
    <font>
      <b/>
      <color rgb="FFB45309"/>
    </font>
    <font>
      <b/>
      <sz val="10"/>
    </font>
    <font>
      <b/>
      <color rgb="FF2563EB"/>
      <sz val="9"/>
    </font>
    <font>
      <b/>
      <color rgb="FF16A34A"/>
      <sz val="10"/>
    </font>
    <font>
      <b/>
      <color rgb="FF9CA3AF"/>
      <sz val="10"/>
    </font>
    <font>
      <b/>
    </font>
    <font>
      <b/>
      <color rgb="FF1E293B"/>
      <sz val="11"/>
    </font>
    <font>
      <b/>
      <color rgb="FFB45309"/>
      <sz val="11"/>
    </font>
    <font>
      <color rgb="FF7C2D12"/>
      <sz val="9"/>
    </font>
  </fonts>
  <fills count="9">
    <fill>
      <patternFill patternType="none"/>
    </fill>
    <fill>
      <patternFill patternType="gray125"/>
    </fill>
    <fill>
      <patternFill patternType="solid">
        <fgColor rgb="FF1E293B"/>
      </patternFill>
    </fill>
    <fill>
      <patternFill patternType="solid">
        <fgColor rgb="FFE2E8F0"/>
      </patternFill>
    </fill>
    <fill>
      <patternFill patternType="solid">
        <fgColor rgb="FF16A34A"/>
      </patternFill>
    </fill>
    <fill>
      <patternFill patternType="solid">
        <fgColor rgb="FFDC2626"/>
      </patternFill>
    </fill>
    <fill>
      <patternFill patternType="solid">
        <fgColor rgb="FF9CA3AF"/>
      </patternFill>
    </fill>
    <fill>
      <patternFill patternType="solid">
        <fgColor rgb="FF2563EB"/>
      </patternFill>
    </fill>
    <fill>
      <patternFill patternType="solid">
        <fgColor rgb="FFFEF3C7"/>
      </patternFill>
    </fill>
  </fills>
  <borders count="5">
    <border>
      <left/>
      <right/>
      <top/>
      <bottom/>
      <diagonal/>
    </border>
    <border>
      <left/>
      <right/>
      <top/>
      <bottom style="thin">
        <color rgb="FF475569"/>
      </bottom>
      <diagonal/>
    </border>
    <border>
      <left style="medium">
        <color rgb="FFB45309"/>
      </left>
      <right/>
      <top/>
      <bottom style="thin">
        <color rgb="FF475569"/>
      </bottom>
      <diagonal/>
    </border>
    <border>
      <left style="medium">
        <color rgb="FFB45309"/>
      </left>
      <right/>
      <top/>
      <bottom/>
      <diagonal/>
    </border>
    <border>
      <left/>
      <right/>
      <top/>
      <bottom style="hair">
        <color rgb="FFCBD5E1"/>
      </bottom>
      <diagonal/>
    </border>
  </borders>
  <cellStyleXfs count="1">
    <xf numFmtId="0" fontId="0" fillId="0" borderId="0"/>
  </cellStyleXfs>
  <cellXfs count="41">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164" fontId="4" fillId="3" borderId="0" xfId="0" applyNumberFormat="1" applyFont="1" applyFill="1" applyAlignment="1">
      <alignment horizontal="center" textRotation="90"/>
    </xf>
    <xf numFmtId="164" fontId="4" fillId="3" borderId="3" xfId="0" applyNumberFormat="1" applyFont="1" applyFill="1" applyBorder="1" applyAlignment="1">
      <alignment horizontal="center" textRotation="90"/>
    </xf>
    <xf numFmtId="0" fontId="5" fillId="0" borderId="4" xfId="0" applyFont="1" applyBorder="1" applyAlignment="1">
      <alignment vertical="top"/>
    </xf>
    <xf numFmtId="0" fontId="6" fillId="0" borderId="4" xfId="0" applyFont="1" applyBorder="1" applyAlignment="1">
      <alignment vertical="top" wrapText="1"/>
    </xf>
    <xf numFmtId="0" fontId="6" fillId="0" borderId="4" xfId="0" applyFont="1" applyBorder="1" applyAlignment="1">
      <alignment vertical="top"/>
    </xf>
    <xf numFmtId="0" fontId="7" fillId="0" borderId="4" xfId="0" applyFont="1" applyBorder="1" applyAlignment="1">
      <alignment vertical="top"/>
    </xf>
    <xf numFmtId="165" fontId="6" fillId="0" borderId="4" xfId="0" applyNumberFormat="1" applyFont="1" applyBorder="1" applyAlignment="1">
      <alignment vertical="top"/>
    </xf>
    <xf numFmtId="166" fontId="6" fillId="0" borderId="4" xfId="0" applyNumberFormat="1" applyFont="1" applyBorder="1" applyAlignment="1">
      <alignment vertical="top"/>
    </xf>
    <xf numFmtId="0" fontId="0" fillId="4" borderId="0" xfId="0" applyFill="1"/>
    <xf numFmtId="0" fontId="0" fillId="0" borderId="3" xfId="0" applyBorder="1"/>
    <xf numFmtId="0" fontId="8" fillId="4" borderId="0" xfId="0" applyFont="1" applyFill="1" applyAlignment="1">
      <alignment horizontal="center" vertical="center"/>
    </xf>
    <xf numFmtId="0" fontId="9" fillId="0" borderId="4" xfId="0" applyFont="1" applyBorder="1" applyAlignment="1">
      <alignment vertical="top"/>
    </xf>
    <xf numFmtId="0" fontId="0" fillId="5" borderId="0" xfId="0" applyFill="1"/>
    <xf numFmtId="0" fontId="10" fillId="0" borderId="0" xfId="0" applyFont="1" applyAlignment="1">
      <alignment horizontal="center" vertical="center"/>
    </xf>
    <xf numFmtId="0" fontId="0" fillId="4" borderId="3" xfId="0" applyFill="1" applyBorder="1"/>
    <xf numFmtId="0" fontId="11" fillId="0" borderId="4" xfId="0" applyFont="1" applyBorder="1" applyAlignment="1">
      <alignment vertical="top"/>
    </xf>
    <xf numFmtId="0" fontId="0" fillId="6" borderId="0" xfId="0" applyFill="1"/>
    <xf numFmtId="0" fontId="8" fillId="6" borderId="0" xfId="0" applyFont="1" applyFill="1" applyAlignment="1">
      <alignment horizontal="center" vertical="center"/>
    </xf>
    <xf numFmtId="0" fontId="5" fillId="0" borderId="0" xfId="0" applyFont="1"/>
    <xf numFmtId="0" fontId="12" fillId="0" borderId="0" xfId="0" applyFont="1" applyAlignment="1">
      <alignment horizontal="center"/>
    </xf>
    <xf numFmtId="0" fontId="13" fillId="0" borderId="0" xfId="0" applyFont="1"/>
    <xf numFmtId="0" fontId="6" fillId="0" borderId="0" xfId="0" applyFont="1"/>
    <xf numFmtId="0" fontId="0" fillId="7" borderId="0" xfId="0" applyFill="1"/>
    <xf numFmtId="0" fontId="14" fillId="0" borderId="4" xfId="0" applyFont="1" applyBorder="1" applyAlignment="1">
      <alignment vertical="top"/>
    </xf>
    <xf numFmtId="0" fontId="0" fillId="7" borderId="3" xfId="0" applyFill="1" applyBorder="1"/>
    <xf numFmtId="0" fontId="8" fillId="7" borderId="0" xfId="0" applyFont="1" applyFill="1" applyAlignment="1">
      <alignment horizontal="center" vertical="center"/>
    </xf>
    <xf numFmtId="0" fontId="15" fillId="0" borderId="4" xfId="0" applyFont="1" applyBorder="1" applyAlignment="1">
      <alignment vertical="top" wrapText="1"/>
    </xf>
    <xf numFmtId="166" fontId="6" fillId="0" borderId="4" xfId="0" applyNumberFormat="1" applyFont="1" applyBorder="1" applyAlignment="1">
      <alignment vertical="top" wrapText="1"/>
    </xf>
    <xf numFmtId="0" fontId="16" fillId="0" borderId="4" xfId="0" applyFont="1" applyBorder="1" applyAlignment="1">
      <alignment vertical="top" wrapText="1"/>
    </xf>
    <xf numFmtId="166" fontId="17" fillId="8" borderId="0" xfId="0" applyNumberFormat="1" applyFont="1" applyFill="1"/>
    <xf numFmtId="0" fontId="0" fillId="0" borderId="0" xfId="0" applyAlignment="1">
      <alignment vertical="top"/>
    </xf>
    <xf numFmtId="166" fontId="0" fillId="0" borderId="0" xfId="0" applyNumberFormat="1" applyAlignment="1">
      <alignment vertical="top"/>
    </xf>
    <xf numFmtId="0" fontId="0" fillId="0" borderId="0" xfId="0" applyAlignment="1">
      <alignment vertical="top" wrapText="1"/>
    </xf>
    <xf numFmtId="0" fontId="18" fillId="0" borderId="0" xfId="0" applyFont="1" applyAlignment="1">
      <alignment vertical="top"/>
    </xf>
    <xf numFmtId="0" fontId="19" fillId="0" borderId="0" xfId="0" applyFont="1"/>
    <xf numFmtId="0" fontId="2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40"/>
  <sheetViews>
    <sheetView workbookViewId="0">
      <pane xSplit="2" ySplit="4" topLeftCell="C5" activePane="bottomRight" state="frozen"/>
      <selection pane="bottomRight"/>
    </sheetView>
  </sheetViews>
  <sheetFormatPr defaultRowHeight="15" outlineLevelRow="0" outlineLevelCol="0" x14ac:dyDescent="55"/>
  <cols>
    <col min="1" max="1" width="6" customWidth="1"/>
    <col min="2" max="2" width="46" customWidth="1"/>
    <col min="3" max="3" width="38" customWidth="1"/>
    <col min="4" max="4" width="18" customWidth="1"/>
    <col min="5" max="5" width="12" customWidth="1"/>
    <col min="6" max="6" width="6" customWidth="1"/>
    <col min="7" max="8" width="11" customWidth="1"/>
    <col min="10" max="10" width="12" customWidth="1"/>
    <col min="11" max="11" width="7" customWidth="1"/>
    <col min="12" max="12" width="8" customWidth="1"/>
    <col min="13" max="13" width="60" customWidth="1"/>
    <col min="14" max="27" width="4.4" customWidth="1"/>
  </cols>
  <sheetData>
    <row r="1" ht="22" customHeight="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ht="26" customHeight="1" spans="1:27"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c r="U3" s="3" t="s">
        <v>22</v>
      </c>
      <c r="V3" s="3" t="s">
        <v>23</v>
      </c>
      <c r="W3" s="3" t="s">
        <v>24</v>
      </c>
      <c r="X3" s="4" t="s">
        <v>25</v>
      </c>
      <c r="Y3" s="3" t="s">
        <v>26</v>
      </c>
      <c r="Z3" s="3" t="s">
        <v>27</v>
      </c>
      <c r="AA3" s="3" t="s">
        <v>28</v>
      </c>
    </row>
    <row r="4" ht="34" customHeight="1" spans="1:27" x14ac:dyDescent="0.25">
      <c r="A4" t="s">
        <v>29</v>
      </c>
      <c r="N4" s="5">
        <f>Parametres!$B$2+0</f>
        <v>46190</v>
      </c>
      <c r="O4" s="5">
        <f>Parametres!$B$2+7</f>
        <v>46197</v>
      </c>
      <c r="P4" s="5">
        <f>Parametres!$B$2+14</f>
        <v>46204</v>
      </c>
      <c r="Q4" s="5">
        <f>Parametres!$B$2+21</f>
        <v>46211</v>
      </c>
      <c r="R4" s="5">
        <f>Parametres!$B$2+28</f>
        <v>46218</v>
      </c>
      <c r="S4" s="5">
        <f>Parametres!$B$2+35</f>
        <v>46225</v>
      </c>
      <c r="T4" s="5">
        <f>Parametres!$B$2+42</f>
        <v>46232</v>
      </c>
      <c r="U4" s="5">
        <f>Parametres!$B$2+49</f>
        <v>46239</v>
      </c>
      <c r="V4" s="5">
        <f>Parametres!$B$2+56</f>
        <v>46246</v>
      </c>
      <c r="W4" s="5">
        <f>Parametres!$B$2+63</f>
        <v>46253</v>
      </c>
      <c r="X4" s="6">
        <f>Parametres!$B$2+70</f>
        <v>46260</v>
      </c>
      <c r="Y4" s="5">
        <f>Parametres!$B$2+77</f>
        <v>46267</v>
      </c>
      <c r="Z4" s="5">
        <f>Parametres!$B$2+84</f>
        <v>46274</v>
      </c>
      <c r="AA4" s="5">
        <f>Parametres!$B$2+91</f>
        <v>46281</v>
      </c>
    </row>
    <row r="5" ht="30" customHeight="1" spans="1:27" x14ac:dyDescent="0.25">
      <c r="A5" s="7" t="s">
        <v>30</v>
      </c>
      <c r="B5" s="8" t="s">
        <v>31</v>
      </c>
      <c r="C5" s="8" t="s">
        <v>32</v>
      </c>
      <c r="D5" s="9" t="s">
        <v>33</v>
      </c>
      <c r="E5" s="10" t="s">
        <v>34</v>
      </c>
      <c r="F5" s="11">
        <v>1</v>
      </c>
      <c r="G5" s="12">
        <f>Parametres!$B$2+0</f>
        <v>46190</v>
      </c>
      <c r="H5" s="12">
        <f>Parametres!$B$2+2</f>
        <v>46192</v>
      </c>
      <c r="I5" s="9">
        <v>3</v>
      </c>
      <c r="J5" s="9" t="s">
        <v>35</v>
      </c>
      <c r="K5" s="9" t="s">
        <v>35</v>
      </c>
      <c r="L5" s="9" t="s">
        <v>36</v>
      </c>
      <c r="M5" s="8" t="s">
        <v>37</v>
      </c>
      <c r="N5" s="13"/>
      <c r="X5" s="14"/>
    </row>
    <row r="6" ht="30" customHeight="1" spans="1:27" x14ac:dyDescent="0.25">
      <c r="A6" s="7" t="s">
        <v>38</v>
      </c>
      <c r="B6" s="8" t="s">
        <v>39</v>
      </c>
      <c r="C6" s="8" t="s">
        <v>40</v>
      </c>
      <c r="D6" s="9" t="s">
        <v>41</v>
      </c>
      <c r="E6" s="10" t="s">
        <v>34</v>
      </c>
      <c r="F6" s="11">
        <v>1</v>
      </c>
      <c r="G6" s="12">
        <f>Parametres!$B$2+0</f>
        <v>46190</v>
      </c>
      <c r="H6" s="12">
        <f>Parametres!$B$2+8</f>
        <v>46198</v>
      </c>
      <c r="I6" s="9">
        <v>7</v>
      </c>
      <c r="J6" s="9" t="s">
        <v>30</v>
      </c>
      <c r="K6" s="9" t="s">
        <v>35</v>
      </c>
      <c r="L6" s="9" t="s">
        <v>36</v>
      </c>
      <c r="M6" s="8" t="s">
        <v>42</v>
      </c>
      <c r="N6" s="13"/>
      <c r="O6" s="13"/>
      <c r="X6" s="14"/>
    </row>
    <row r="7" ht="30" customHeight="1" spans="1:27" x14ac:dyDescent="0.25">
      <c r="A7" s="9" t="s">
        <v>43</v>
      </c>
      <c r="B7" s="8" t="s">
        <v>44</v>
      </c>
      <c r="C7" s="8" t="s">
        <v>45</v>
      </c>
      <c r="D7" s="9" t="s">
        <v>41</v>
      </c>
      <c r="E7" s="10" t="s">
        <v>34</v>
      </c>
      <c r="F7" s="11">
        <v>1</v>
      </c>
      <c r="G7" s="12">
        <f>Parametres!$B$2+1</f>
        <v>46191</v>
      </c>
      <c r="H7" s="12">
        <f>Parametres!$B$2+6</f>
        <v>46196</v>
      </c>
      <c r="I7" s="9">
        <v>4</v>
      </c>
      <c r="J7" s="9" t="s">
        <v>38</v>
      </c>
      <c r="K7" s="9" t="s">
        <v>35</v>
      </c>
      <c r="L7" s="9" t="s">
        <v>35</v>
      </c>
      <c r="M7" s="8" t="s">
        <v>46</v>
      </c>
      <c r="N7" s="13"/>
      <c r="X7" s="14"/>
    </row>
    <row r="8" ht="30" customHeight="1" spans="1:27" x14ac:dyDescent="0.25">
      <c r="A8" s="9" t="s">
        <v>47</v>
      </c>
      <c r="B8" s="8" t="s">
        <v>48</v>
      </c>
      <c r="C8" s="8" t="s">
        <v>49</v>
      </c>
      <c r="D8" s="9" t="s">
        <v>41</v>
      </c>
      <c r="E8" s="10" t="s">
        <v>34</v>
      </c>
      <c r="F8" s="11">
        <v>1</v>
      </c>
      <c r="G8" s="12">
        <f>Parametres!$B$2+2</f>
        <v>46192</v>
      </c>
      <c r="H8" s="12">
        <f>Parametres!$B$2+6</f>
        <v>46196</v>
      </c>
      <c r="I8" s="9">
        <v>3</v>
      </c>
      <c r="J8" s="9" t="s">
        <v>38</v>
      </c>
      <c r="K8" s="9" t="s">
        <v>35</v>
      </c>
      <c r="L8" s="9" t="s">
        <v>35</v>
      </c>
      <c r="M8" s="8" t="s">
        <v>50</v>
      </c>
      <c r="N8" s="13"/>
      <c r="X8" s="14"/>
    </row>
    <row r="9" ht="30" customHeight="1" spans="1:27" x14ac:dyDescent="0.25">
      <c r="A9" s="9" t="s">
        <v>51</v>
      </c>
      <c r="B9" s="8" t="s">
        <v>52</v>
      </c>
      <c r="C9" s="8" t="s">
        <v>53</v>
      </c>
      <c r="D9" s="9" t="s">
        <v>41</v>
      </c>
      <c r="E9" s="10" t="s">
        <v>34</v>
      </c>
      <c r="F9" s="11">
        <v>1</v>
      </c>
      <c r="G9" s="12">
        <f>Parametres!$B$2+7</f>
        <v>46197</v>
      </c>
      <c r="H9" s="12">
        <f>Parametres!$B$2+8</f>
        <v>46198</v>
      </c>
      <c r="I9" s="9">
        <v>2</v>
      </c>
      <c r="J9" s="9" t="s">
        <v>38</v>
      </c>
      <c r="K9" s="9" t="s">
        <v>54</v>
      </c>
      <c r="L9" s="9" t="s">
        <v>35</v>
      </c>
      <c r="M9" s="8" t="s">
        <v>55</v>
      </c>
      <c r="O9" s="15" t="s">
        <v>56</v>
      </c>
      <c r="X9" s="14"/>
    </row>
    <row r="10" ht="30" customHeight="1" spans="1:27" x14ac:dyDescent="0.25">
      <c r="A10" s="9" t="s">
        <v>57</v>
      </c>
      <c r="B10" s="8" t="s">
        <v>58</v>
      </c>
      <c r="C10" s="8" t="s">
        <v>59</v>
      </c>
      <c r="D10" s="9" t="s">
        <v>60</v>
      </c>
      <c r="E10" s="10" t="s">
        <v>34</v>
      </c>
      <c r="F10" s="11">
        <v>1</v>
      </c>
      <c r="G10" s="12">
        <f>Parametres!$B$2+12</f>
        <v>46202</v>
      </c>
      <c r="H10" s="12">
        <f>Parametres!$B$2+13</f>
        <v>46203</v>
      </c>
      <c r="I10" s="9">
        <v>2</v>
      </c>
      <c r="J10" s="9" t="s">
        <v>38</v>
      </c>
      <c r="K10" s="9" t="s">
        <v>35</v>
      </c>
      <c r="L10" s="9" t="s">
        <v>35</v>
      </c>
      <c r="M10" s="8" t="s">
        <v>61</v>
      </c>
      <c r="O10" s="13"/>
      <c r="X10" s="14"/>
    </row>
    <row r="11" ht="30" customHeight="1" spans="1:27" x14ac:dyDescent="0.25">
      <c r="A11" s="9" t="s">
        <v>62</v>
      </c>
      <c r="B11" s="8" t="s">
        <v>63</v>
      </c>
      <c r="C11" s="8" t="s">
        <v>64</v>
      </c>
      <c r="D11" s="9" t="s">
        <v>60</v>
      </c>
      <c r="E11" s="10" t="s">
        <v>34</v>
      </c>
      <c r="F11" s="11">
        <v>1</v>
      </c>
      <c r="G11" s="12">
        <f>Parametres!$B$2+12</f>
        <v>46202</v>
      </c>
      <c r="H11" s="12">
        <f>Parametres!$B$2+15</f>
        <v>46205</v>
      </c>
      <c r="I11" s="9">
        <v>4</v>
      </c>
      <c r="J11" s="9" t="s">
        <v>57</v>
      </c>
      <c r="K11" s="9" t="s">
        <v>35</v>
      </c>
      <c r="L11" s="9" t="s">
        <v>35</v>
      </c>
      <c r="M11" s="8" t="s">
        <v>65</v>
      </c>
      <c r="O11" s="13"/>
      <c r="P11" s="13"/>
      <c r="X11" s="14"/>
    </row>
    <row r="12" ht="30" customHeight="1" spans="1:27" x14ac:dyDescent="0.25">
      <c r="A12" s="9" t="s">
        <v>66</v>
      </c>
      <c r="B12" s="8" t="s">
        <v>67</v>
      </c>
      <c r="C12" s="8" t="s">
        <v>68</v>
      </c>
      <c r="D12" s="9" t="s">
        <v>60</v>
      </c>
      <c r="E12" s="10" t="s">
        <v>34</v>
      </c>
      <c r="F12" s="11">
        <v>1</v>
      </c>
      <c r="G12" s="12">
        <f>Parametres!$B$2+16</f>
        <v>46206</v>
      </c>
      <c r="H12" s="12">
        <f>Parametres!$B$2+29</f>
        <v>46219</v>
      </c>
      <c r="I12" s="9">
        <v>10</v>
      </c>
      <c r="J12" s="9" t="s">
        <v>30</v>
      </c>
      <c r="K12" s="9" t="s">
        <v>35</v>
      </c>
      <c r="L12" s="9" t="s">
        <v>35</v>
      </c>
      <c r="M12" s="8" t="s">
        <v>69</v>
      </c>
      <c r="P12" s="13"/>
      <c r="Q12" s="13"/>
      <c r="R12" s="13"/>
      <c r="X12" s="14"/>
    </row>
    <row r="13" ht="30" customHeight="1" spans="1:27" x14ac:dyDescent="0.25">
      <c r="A13" s="7" t="s">
        <v>70</v>
      </c>
      <c r="B13" s="8" t="s">
        <v>71</v>
      </c>
      <c r="C13" s="8" t="s">
        <v>72</v>
      </c>
      <c r="D13" s="9" t="s">
        <v>60</v>
      </c>
      <c r="E13" s="10" t="s">
        <v>34</v>
      </c>
      <c r="F13" s="11">
        <v>1</v>
      </c>
      <c r="G13" s="12">
        <f>Parametres!$B$2+6</f>
        <v>46196</v>
      </c>
      <c r="H13" s="12">
        <f>Parametres!$B$2+40</f>
        <v>46230</v>
      </c>
      <c r="I13" s="9">
        <v>24</v>
      </c>
      <c r="J13" s="9" t="s">
        <v>38</v>
      </c>
      <c r="K13" s="9" t="s">
        <v>35</v>
      </c>
      <c r="L13" s="9" t="s">
        <v>36</v>
      </c>
      <c r="M13" s="8" t="s">
        <v>73</v>
      </c>
      <c r="N13" s="13"/>
      <c r="O13" s="13"/>
      <c r="P13" s="13"/>
      <c r="Q13" s="13"/>
      <c r="R13" s="13"/>
      <c r="S13" s="13"/>
      <c r="X13" s="14"/>
    </row>
    <row r="14" ht="30" customHeight="1" spans="1:27" x14ac:dyDescent="0.25">
      <c r="A14" s="7" t="s">
        <v>74</v>
      </c>
      <c r="B14" s="8" t="s">
        <v>75</v>
      </c>
      <c r="C14" s="8" t="s">
        <v>76</v>
      </c>
      <c r="D14" s="9" t="s">
        <v>60</v>
      </c>
      <c r="E14" s="10" t="s">
        <v>34</v>
      </c>
      <c r="F14" s="11">
        <v>1</v>
      </c>
      <c r="G14" s="12">
        <f>Parametres!$B$2+29</f>
        <v>46219</v>
      </c>
      <c r="H14" s="12">
        <f>Parametres!$B$2+40</f>
        <v>46230</v>
      </c>
      <c r="I14" s="9">
        <v>8</v>
      </c>
      <c r="J14" s="9" t="s">
        <v>77</v>
      </c>
      <c r="K14" s="9" t="s">
        <v>35</v>
      </c>
      <c r="L14" s="9" t="s">
        <v>36</v>
      </c>
      <c r="M14" s="8" t="s">
        <v>78</v>
      </c>
      <c r="R14" s="13"/>
      <c r="S14" s="13"/>
      <c r="X14" s="14"/>
    </row>
    <row r="15" ht="30" customHeight="1" spans="1:27" x14ac:dyDescent="0.25">
      <c r="A15" s="9" t="s">
        <v>79</v>
      </c>
      <c r="B15" s="8" t="s">
        <v>80</v>
      </c>
      <c r="C15" s="8" t="s">
        <v>81</v>
      </c>
      <c r="D15" s="9" t="s">
        <v>60</v>
      </c>
      <c r="E15" s="10" t="s">
        <v>34</v>
      </c>
      <c r="F15" s="11">
        <v>1</v>
      </c>
      <c r="G15" s="12">
        <f>Parametres!$B$2+40</f>
        <v>46230</v>
      </c>
      <c r="H15" s="12">
        <f>Parametres!$B$2+40</f>
        <v>46230</v>
      </c>
      <c r="I15" s="9">
        <v>1</v>
      </c>
      <c r="J15" s="9" t="s">
        <v>77</v>
      </c>
      <c r="K15" s="9" t="s">
        <v>35</v>
      </c>
      <c r="L15" s="9" t="s">
        <v>35</v>
      </c>
      <c r="M15" s="8" t="s">
        <v>82</v>
      </c>
      <c r="S15" s="13"/>
      <c r="X15" s="14"/>
    </row>
    <row r="16" ht="30" customHeight="1" spans="1:27" x14ac:dyDescent="0.25">
      <c r="A16" s="7" t="s">
        <v>83</v>
      </c>
      <c r="B16" s="8" t="s">
        <v>84</v>
      </c>
      <c r="C16" s="8" t="s">
        <v>85</v>
      </c>
      <c r="D16" s="9" t="s">
        <v>41</v>
      </c>
      <c r="E16" s="10" t="s">
        <v>34</v>
      </c>
      <c r="F16" s="11">
        <v>1</v>
      </c>
      <c r="G16" s="12">
        <f>Parametres!$B$2+40</f>
        <v>46230</v>
      </c>
      <c r="H16" s="12">
        <f>Parametres!$B$2+40</f>
        <v>46230</v>
      </c>
      <c r="I16" s="9">
        <v>1</v>
      </c>
      <c r="J16" s="9" t="s">
        <v>86</v>
      </c>
      <c r="K16" s="9" t="s">
        <v>87</v>
      </c>
      <c r="L16" s="9" t="s">
        <v>36</v>
      </c>
      <c r="M16" s="8" t="s">
        <v>88</v>
      </c>
      <c r="S16" s="15" t="s">
        <v>56</v>
      </c>
      <c r="X16" s="14"/>
    </row>
    <row r="17" ht="30" customHeight="1" spans="1:27" x14ac:dyDescent="0.25">
      <c r="A17" s="9" t="s">
        <v>89</v>
      </c>
      <c r="B17" s="8" t="s">
        <v>90</v>
      </c>
      <c r="C17" s="8" t="s">
        <v>91</v>
      </c>
      <c r="D17" s="9" t="s">
        <v>92</v>
      </c>
      <c r="E17" s="10" t="s">
        <v>34</v>
      </c>
      <c r="F17" s="11">
        <v>1</v>
      </c>
      <c r="G17" s="12">
        <f>Parametres!$B$2+41</f>
        <v>46231</v>
      </c>
      <c r="H17" s="12">
        <f>Parametres!$B$2+54</f>
        <v>46244</v>
      </c>
      <c r="I17" s="9">
        <v>10</v>
      </c>
      <c r="J17" s="9" t="s">
        <v>83</v>
      </c>
      <c r="K17" s="9" t="s">
        <v>35</v>
      </c>
      <c r="L17" s="9" t="s">
        <v>35</v>
      </c>
      <c r="M17" s="8" t="s">
        <v>93</v>
      </c>
      <c r="S17" s="13"/>
      <c r="T17" s="13"/>
      <c r="U17" s="13"/>
      <c r="X17" s="14"/>
    </row>
    <row r="18" ht="30" customHeight="1" spans="1:27" x14ac:dyDescent="0.25">
      <c r="A18" s="7" t="s">
        <v>94</v>
      </c>
      <c r="B18" s="8" t="s">
        <v>95</v>
      </c>
      <c r="C18" s="8" t="s">
        <v>96</v>
      </c>
      <c r="D18" s="9" t="s">
        <v>41</v>
      </c>
      <c r="E18" s="10" t="s">
        <v>34</v>
      </c>
      <c r="F18" s="11">
        <v>1</v>
      </c>
      <c r="G18" s="12">
        <f>Parametres!$B$2+55</f>
        <v>46245</v>
      </c>
      <c r="H18" s="12">
        <f>Parametres!$B$2+58</f>
        <v>46248</v>
      </c>
      <c r="I18" s="9">
        <v>4</v>
      </c>
      <c r="J18" s="9" t="s">
        <v>97</v>
      </c>
      <c r="K18" s="9" t="s">
        <v>35</v>
      </c>
      <c r="L18" s="9" t="s">
        <v>36</v>
      </c>
      <c r="M18" s="8" t="s">
        <v>98</v>
      </c>
      <c r="U18" s="13"/>
      <c r="V18" s="13"/>
      <c r="X18" s="14"/>
    </row>
    <row r="19" ht="30" customHeight="1" spans="1:27" x14ac:dyDescent="0.25">
      <c r="A19" s="9" t="s">
        <v>99</v>
      </c>
      <c r="B19" s="8" t="s">
        <v>100</v>
      </c>
      <c r="C19" s="8" t="s">
        <v>101</v>
      </c>
      <c r="D19" s="9" t="s">
        <v>33</v>
      </c>
      <c r="E19" s="10" t="s">
        <v>34</v>
      </c>
      <c r="F19" s="11">
        <v>1</v>
      </c>
      <c r="G19" s="12">
        <f>Parametres!$B$2+55</f>
        <v>46245</v>
      </c>
      <c r="H19" s="12">
        <f>Parametres!$B$2+58</f>
        <v>46248</v>
      </c>
      <c r="I19" s="9">
        <v>4</v>
      </c>
      <c r="J19" s="9" t="s">
        <v>30</v>
      </c>
      <c r="K19" s="9" t="s">
        <v>35</v>
      </c>
      <c r="L19" s="9" t="s">
        <v>35</v>
      </c>
      <c r="M19" s="8" t="s">
        <v>102</v>
      </c>
      <c r="U19" s="13"/>
      <c r="V19" s="13"/>
      <c r="X19" s="14"/>
    </row>
    <row r="20" ht="30" customHeight="1" spans="1:27" x14ac:dyDescent="0.25">
      <c r="A20" s="9" t="s">
        <v>103</v>
      </c>
      <c r="B20" s="8" t="s">
        <v>104</v>
      </c>
      <c r="C20" s="8" t="s">
        <v>105</v>
      </c>
      <c r="D20" s="9" t="s">
        <v>41</v>
      </c>
      <c r="E20" s="10" t="s">
        <v>34</v>
      </c>
      <c r="F20" s="11">
        <v>1</v>
      </c>
      <c r="G20" s="12">
        <f>Parametres!$B$2+55</f>
        <v>46245</v>
      </c>
      <c r="H20" s="12">
        <f>Parametres!$B$2+58</f>
        <v>46248</v>
      </c>
      <c r="I20" s="9">
        <v>4</v>
      </c>
      <c r="J20" s="9" t="s">
        <v>106</v>
      </c>
      <c r="K20" s="9" t="s">
        <v>35</v>
      </c>
      <c r="L20" s="9" t="s">
        <v>35</v>
      </c>
      <c r="M20" s="8" t="s">
        <v>107</v>
      </c>
      <c r="U20" s="13"/>
      <c r="V20" s="13"/>
      <c r="X20" s="14"/>
    </row>
    <row r="21" ht="30" customHeight="1" spans="1:27" x14ac:dyDescent="0.25">
      <c r="A21" s="9" t="s">
        <v>108</v>
      </c>
      <c r="B21" s="8" t="s">
        <v>109</v>
      </c>
      <c r="C21" s="8" t="s">
        <v>110</v>
      </c>
      <c r="D21" s="9" t="s">
        <v>33</v>
      </c>
      <c r="E21" s="16" t="s">
        <v>111</v>
      </c>
      <c r="F21" s="11">
        <v>0.86</v>
      </c>
      <c r="G21" s="12">
        <f>Parametres!$B$2+61</f>
        <v>46251</v>
      </c>
      <c r="H21" s="12">
        <f>Parametres!$B$2+63</f>
        <v>46253</v>
      </c>
      <c r="I21" s="9">
        <v>3</v>
      </c>
      <c r="J21" s="9" t="s">
        <v>57</v>
      </c>
      <c r="K21" s="9" t="s">
        <v>35</v>
      </c>
      <c r="L21" s="9" t="s">
        <v>35</v>
      </c>
      <c r="M21" s="8" t="s">
        <v>112</v>
      </c>
      <c r="V21" s="17"/>
      <c r="W21" s="17"/>
      <c r="X21" s="14"/>
    </row>
    <row r="22" ht="30" customHeight="1" spans="1:27" x14ac:dyDescent="0.25">
      <c r="A22" s="9" t="s">
        <v>113</v>
      </c>
      <c r="B22" s="8" t="s">
        <v>114</v>
      </c>
      <c r="C22" s="8" t="s">
        <v>115</v>
      </c>
      <c r="D22" s="9" t="s">
        <v>33</v>
      </c>
      <c r="E22" s="10" t="s">
        <v>34</v>
      </c>
      <c r="F22" s="11">
        <v>1</v>
      </c>
      <c r="G22" s="12">
        <f>Parametres!$B$2+61</f>
        <v>46251</v>
      </c>
      <c r="H22" s="12">
        <f>Parametres!$B$2+61</f>
        <v>46251</v>
      </c>
      <c r="I22" s="9">
        <v>1</v>
      </c>
      <c r="J22" s="9" t="s">
        <v>30</v>
      </c>
      <c r="K22" s="9" t="s">
        <v>116</v>
      </c>
      <c r="L22" s="9" t="s">
        <v>35</v>
      </c>
      <c r="M22" s="8" t="s">
        <v>117</v>
      </c>
      <c r="V22" s="13"/>
      <c r="W22" s="18" t="s">
        <v>56</v>
      </c>
      <c r="X22" s="14"/>
    </row>
    <row r="23" ht="30" customHeight="1" spans="1:27" x14ac:dyDescent="0.25">
      <c r="A23" s="9" t="s">
        <v>118</v>
      </c>
      <c r="B23" s="8" t="s">
        <v>119</v>
      </c>
      <c r="C23" s="8" t="s">
        <v>120</v>
      </c>
      <c r="D23" s="9" t="s">
        <v>60</v>
      </c>
      <c r="E23" s="10" t="s">
        <v>34</v>
      </c>
      <c r="F23" s="11">
        <v>1</v>
      </c>
      <c r="G23" s="12">
        <f>Parametres!$B$2+63</f>
        <v>46253</v>
      </c>
      <c r="H23" s="12">
        <f>Parametres!$B$2+63</f>
        <v>46253</v>
      </c>
      <c r="I23" s="9">
        <v>1</v>
      </c>
      <c r="J23" s="9" t="s">
        <v>66</v>
      </c>
      <c r="K23" s="9" t="s">
        <v>35</v>
      </c>
      <c r="L23" s="9" t="s">
        <v>35</v>
      </c>
      <c r="M23" s="8" t="s">
        <v>121</v>
      </c>
      <c r="W23" s="13"/>
      <c r="X23" s="14"/>
    </row>
    <row r="24" ht="30" customHeight="1" spans="1:27" x14ac:dyDescent="0.25">
      <c r="A24" s="7" t="s">
        <v>122</v>
      </c>
      <c r="B24" s="8" t="s">
        <v>123</v>
      </c>
      <c r="C24" s="8" t="s">
        <v>124</v>
      </c>
      <c r="D24" s="9" t="s">
        <v>60</v>
      </c>
      <c r="E24" s="10" t="s">
        <v>34</v>
      </c>
      <c r="F24" s="11">
        <v>1</v>
      </c>
      <c r="G24" s="12">
        <f>Parametres!$B$2+63</f>
        <v>46253</v>
      </c>
      <c r="H24" s="12">
        <f>Parametres!$B$2+64</f>
        <v>46254</v>
      </c>
      <c r="I24" s="9">
        <v>2</v>
      </c>
      <c r="J24" s="9" t="s">
        <v>125</v>
      </c>
      <c r="K24" s="9" t="s">
        <v>35</v>
      </c>
      <c r="L24" s="9" t="s">
        <v>36</v>
      </c>
      <c r="M24" s="8" t="s">
        <v>126</v>
      </c>
      <c r="W24" s="13"/>
      <c r="X24" s="14"/>
    </row>
    <row r="25" ht="30" customHeight="1" spans="1:27" x14ac:dyDescent="0.25">
      <c r="A25" s="9" t="s">
        <v>127</v>
      </c>
      <c r="B25" s="8" t="s">
        <v>128</v>
      </c>
      <c r="C25" s="8" t="s">
        <v>129</v>
      </c>
      <c r="D25" s="9" t="s">
        <v>33</v>
      </c>
      <c r="E25" s="16" t="s">
        <v>111</v>
      </c>
      <c r="F25" s="11">
        <v>0.33</v>
      </c>
      <c r="G25" s="12">
        <f>Parametres!$B$2+61</f>
        <v>46251</v>
      </c>
      <c r="H25" s="12">
        <f>Parametres!$B$2+63</f>
        <v>46253</v>
      </c>
      <c r="I25" s="9">
        <v>3</v>
      </c>
      <c r="J25" s="9" t="s">
        <v>30</v>
      </c>
      <c r="K25" s="9" t="s">
        <v>35</v>
      </c>
      <c r="L25" s="9" t="s">
        <v>35</v>
      </c>
      <c r="M25" s="8" t="s">
        <v>130</v>
      </c>
      <c r="V25" s="17"/>
      <c r="W25" s="17"/>
      <c r="X25" s="14"/>
    </row>
    <row r="26" ht="30" customHeight="1" spans="1:27" x14ac:dyDescent="0.25">
      <c r="A26" s="7" t="s">
        <v>131</v>
      </c>
      <c r="B26" s="8" t="s">
        <v>132</v>
      </c>
      <c r="C26" s="8" t="s">
        <v>133</v>
      </c>
      <c r="D26" s="9" t="s">
        <v>60</v>
      </c>
      <c r="E26" s="10" t="s">
        <v>34</v>
      </c>
      <c r="F26" s="11">
        <v>1</v>
      </c>
      <c r="G26" s="12">
        <f>Parametres!$B$2+68</f>
        <v>46258</v>
      </c>
      <c r="H26" s="12">
        <f>Parametres!$B$2+72</f>
        <v>46262</v>
      </c>
      <c r="I26" s="9">
        <v>5</v>
      </c>
      <c r="J26" s="9" t="s">
        <v>134</v>
      </c>
      <c r="K26" s="9" t="s">
        <v>35</v>
      </c>
      <c r="L26" s="9" t="s">
        <v>36</v>
      </c>
      <c r="M26" s="8" t="s">
        <v>135</v>
      </c>
      <c r="W26" s="13"/>
      <c r="X26" s="19"/>
    </row>
    <row r="27" ht="30" customHeight="1" spans="1:27" x14ac:dyDescent="0.25">
      <c r="A27" s="9" t="s">
        <v>136</v>
      </c>
      <c r="B27" s="8" t="s">
        <v>137</v>
      </c>
      <c r="C27" s="8" t="s">
        <v>138</v>
      </c>
      <c r="D27" s="9" t="s">
        <v>41</v>
      </c>
      <c r="E27" s="10" t="s">
        <v>34</v>
      </c>
      <c r="F27" s="11">
        <v>1</v>
      </c>
      <c r="G27" s="12">
        <f>Parametres!$B$2+72</f>
        <v>46262</v>
      </c>
      <c r="H27" s="12">
        <f>Parametres!$B$2+76</f>
        <v>46266</v>
      </c>
      <c r="I27" s="9">
        <v>3</v>
      </c>
      <c r="J27" s="9" t="s">
        <v>139</v>
      </c>
      <c r="K27" s="9" t="s">
        <v>35</v>
      </c>
      <c r="L27" s="9" t="s">
        <v>35</v>
      </c>
      <c r="M27" s="8" t="s">
        <v>140</v>
      </c>
      <c r="X27" s="19"/>
    </row>
    <row r="28" ht="30" customHeight="1" spans="1:27" x14ac:dyDescent="0.25">
      <c r="A28" s="7" t="s">
        <v>141</v>
      </c>
      <c r="B28" s="8" t="s">
        <v>142</v>
      </c>
      <c r="C28" s="8" t="s">
        <v>143</v>
      </c>
      <c r="D28" s="9" t="s">
        <v>41</v>
      </c>
      <c r="E28" s="20" t="s">
        <v>144</v>
      </c>
      <c r="F28" s="11">
        <v>0</v>
      </c>
      <c r="G28" s="12">
        <f>Parametres!$B$2+77</f>
        <v>46267</v>
      </c>
      <c r="H28" s="12">
        <f>Parametres!$B$2+90</f>
        <v>46280</v>
      </c>
      <c r="I28" s="9">
        <v>10</v>
      </c>
      <c r="J28" s="9" t="s">
        <v>145</v>
      </c>
      <c r="K28" s="9" t="s">
        <v>35</v>
      </c>
      <c r="L28" s="9" t="s">
        <v>36</v>
      </c>
      <c r="M28" s="8" t="s">
        <v>146</v>
      </c>
      <c r="X28" s="14"/>
      <c r="Y28" s="21"/>
      <c r="Z28" s="21"/>
    </row>
    <row r="29" ht="30" customHeight="1" spans="1:27" x14ac:dyDescent="0.25">
      <c r="A29" s="9" t="s">
        <v>147</v>
      </c>
      <c r="B29" s="8" t="s">
        <v>148</v>
      </c>
      <c r="C29" s="8" t="s">
        <v>149</v>
      </c>
      <c r="D29" s="9" t="s">
        <v>60</v>
      </c>
      <c r="E29" s="20" t="s">
        <v>144</v>
      </c>
      <c r="F29" s="11">
        <v>0</v>
      </c>
      <c r="G29" s="12">
        <f>Parametres!$B$2+77</f>
        <v>46267</v>
      </c>
      <c r="H29" s="12">
        <f>Parametres!$B$2+83</f>
        <v>46273</v>
      </c>
      <c r="I29" s="9">
        <v>5</v>
      </c>
      <c r="J29" s="9" t="s">
        <v>150</v>
      </c>
      <c r="K29" s="9" t="s">
        <v>35</v>
      </c>
      <c r="L29" s="9" t="s">
        <v>35</v>
      </c>
      <c r="M29" s="8" t="s">
        <v>151</v>
      </c>
      <c r="X29" s="14"/>
      <c r="Y29" s="21"/>
    </row>
    <row r="30" ht="30" customHeight="1" spans="1:27" x14ac:dyDescent="0.25">
      <c r="A30" s="9" t="s">
        <v>152</v>
      </c>
      <c r="B30" s="8" t="s">
        <v>153</v>
      </c>
      <c r="C30" s="8" t="s">
        <v>154</v>
      </c>
      <c r="D30" s="9" t="s">
        <v>33</v>
      </c>
      <c r="E30" s="10" t="s">
        <v>34</v>
      </c>
      <c r="F30" s="11">
        <v>1</v>
      </c>
      <c r="G30" s="12">
        <f>Parametres!$B$2+71</f>
        <v>46261</v>
      </c>
      <c r="H30" s="12">
        <f>Parametres!$B$2+71</f>
        <v>46261</v>
      </c>
      <c r="I30" s="9">
        <v>1</v>
      </c>
      <c r="J30" s="9" t="s">
        <v>30</v>
      </c>
      <c r="K30" s="9" t="s">
        <v>35</v>
      </c>
      <c r="L30" s="9" t="s">
        <v>35</v>
      </c>
      <c r="M30" s="8" t="s">
        <v>155</v>
      </c>
      <c r="X30" s="19"/>
    </row>
    <row r="31" ht="30" customHeight="1" spans="1:27" x14ac:dyDescent="0.25">
      <c r="A31" s="7" t="s">
        <v>156</v>
      </c>
      <c r="B31" s="8" t="s">
        <v>157</v>
      </c>
      <c r="C31" s="8" t="s">
        <v>158</v>
      </c>
      <c r="D31" s="9" t="s">
        <v>92</v>
      </c>
      <c r="E31" s="20" t="s">
        <v>144</v>
      </c>
      <c r="F31" s="11">
        <v>0</v>
      </c>
      <c r="G31" s="12">
        <f>Parametres!$B$2+89</f>
        <v>46279</v>
      </c>
      <c r="H31" s="12">
        <f>Parametres!$B$2+93</f>
        <v>46283</v>
      </c>
      <c r="I31" s="9">
        <v>5</v>
      </c>
      <c r="J31" s="9" t="s">
        <v>159</v>
      </c>
      <c r="K31" s="9" t="s">
        <v>160</v>
      </c>
      <c r="L31" s="9" t="s">
        <v>36</v>
      </c>
      <c r="M31" s="8" t="s">
        <v>161</v>
      </c>
      <c r="X31" s="14"/>
      <c r="Z31" s="21"/>
      <c r="AA31" s="22" t="s">
        <v>56</v>
      </c>
    </row>
    <row r="32" spans="1:24" x14ac:dyDescent="0.25">
      <c r="A32" s="23" t="s">
        <v>162</v>
      </c>
      <c r="X32" s="24" t="s">
        <v>163</v>
      </c>
    </row>
    <row r="34" spans="1:1" x14ac:dyDescent="0.25">
      <c r="A34" s="25" t="s">
        <v>164</v>
      </c>
    </row>
    <row r="35" spans="1:2" x14ac:dyDescent="0.25">
      <c r="A35" s="13"/>
      <c r="B35" s="26" t="s">
        <v>165</v>
      </c>
    </row>
    <row r="36" spans="1:2" x14ac:dyDescent="0.25">
      <c r="A36" s="27"/>
      <c r="B36" s="26" t="s">
        <v>166</v>
      </c>
    </row>
    <row r="37" spans="1:2" x14ac:dyDescent="0.25">
      <c r="A37" s="21"/>
      <c r="B37" s="26" t="s">
        <v>167</v>
      </c>
    </row>
    <row r="38" spans="1:2" x14ac:dyDescent="0.25">
      <c r="A38" s="17"/>
      <c r="B38" s="26" t="s">
        <v>168</v>
      </c>
    </row>
    <row r="39" spans="2:2" x14ac:dyDescent="0.25">
      <c r="B39" s="26" t="s">
        <v>169</v>
      </c>
    </row>
    <row r="40" spans="2:2" x14ac:dyDescent="0.25">
      <c r="B40" s="26" t="s">
        <v>170</v>
      </c>
    </row>
  </sheetData>
  <autoFilter ref="A3:M31"/>
  <mergeCells count="2">
    <mergeCell ref="A1:AA1"/>
    <mergeCell ref="A2:AA2"/>
  </mergeCells>
  <pageMargins left="0.7" right="0.7" top="0.75" bottom="0.75" header="0.3" footer="0.3"/>
  <pageSetup paperSize="9" orientation="landscape"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19"/>
  <sheetViews>
    <sheetView workbookViewId="0">
      <pane xSplit="2" ySplit="4" topLeftCell="C5" activePane="bottomRight" state="frozen"/>
      <selection pane="bottomRight"/>
    </sheetView>
  </sheetViews>
  <sheetFormatPr defaultRowHeight="15" outlineLevelRow="0" outlineLevelCol="0" x14ac:dyDescent="55"/>
  <cols>
    <col min="1" max="1" width="6" customWidth="1"/>
    <col min="2" max="2" width="46" customWidth="1"/>
    <col min="3" max="3" width="38" customWidth="1"/>
    <col min="4" max="4" width="18" customWidth="1"/>
    <col min="5" max="5" width="12" customWidth="1"/>
    <col min="6" max="6" width="6" customWidth="1"/>
    <col min="7" max="8" width="11" customWidth="1"/>
    <col min="10" max="10" width="12" customWidth="1"/>
    <col min="11" max="11" width="7" customWidth="1"/>
    <col min="12" max="12" width="8" customWidth="1"/>
    <col min="13" max="13" width="60" customWidth="1"/>
    <col min="14" max="23" width="4.4" customWidth="1"/>
  </cols>
  <sheetData>
    <row r="1" ht="22" customHeight="1" spans="1:23" x14ac:dyDescent="0.25">
      <c r="A1" s="1" t="s">
        <v>171</v>
      </c>
      <c r="B1" s="1"/>
      <c r="C1" s="1"/>
      <c r="D1" s="1"/>
      <c r="E1" s="1"/>
      <c r="F1" s="1"/>
      <c r="G1" s="1"/>
      <c r="H1" s="1"/>
      <c r="I1" s="1"/>
      <c r="J1" s="1"/>
      <c r="K1" s="1"/>
      <c r="L1" s="1"/>
      <c r="M1" s="1"/>
      <c r="N1" s="1"/>
      <c r="O1" s="1"/>
      <c r="P1" s="1"/>
      <c r="Q1" s="1"/>
      <c r="R1" s="1"/>
      <c r="S1" s="1"/>
      <c r="T1" s="1"/>
      <c r="U1" s="1"/>
      <c r="V1" s="1"/>
      <c r="W1" s="1"/>
    </row>
    <row r="2" spans="1:23" x14ac:dyDescent="0.25">
      <c r="A2" s="2" t="s">
        <v>172</v>
      </c>
      <c r="B2" s="2"/>
      <c r="C2" s="2"/>
      <c r="D2" s="2"/>
      <c r="E2" s="2"/>
      <c r="F2" s="2"/>
      <c r="G2" s="2"/>
      <c r="H2" s="2"/>
      <c r="I2" s="2"/>
      <c r="J2" s="2"/>
      <c r="K2" s="2"/>
      <c r="L2" s="2"/>
      <c r="M2" s="2"/>
      <c r="N2" s="2"/>
      <c r="O2" s="2"/>
      <c r="P2" s="2"/>
      <c r="Q2" s="2"/>
      <c r="R2" s="2"/>
      <c r="S2" s="2"/>
      <c r="T2" s="2"/>
      <c r="U2" s="2"/>
      <c r="V2" s="2"/>
      <c r="W2" s="2"/>
    </row>
    <row r="3" ht="26" customHeight="1" spans="1:23" x14ac:dyDescent="0.25">
      <c r="A3" s="3" t="s">
        <v>2</v>
      </c>
      <c r="B3" s="3" t="s">
        <v>3</v>
      </c>
      <c r="C3" s="3" t="s">
        <v>4</v>
      </c>
      <c r="D3" s="3" t="s">
        <v>5</v>
      </c>
      <c r="E3" s="3" t="s">
        <v>6</v>
      </c>
      <c r="F3" s="3" t="s">
        <v>7</v>
      </c>
      <c r="G3" s="3" t="s">
        <v>8</v>
      </c>
      <c r="H3" s="3" t="s">
        <v>9</v>
      </c>
      <c r="I3" s="3" t="s">
        <v>10</v>
      </c>
      <c r="J3" s="3" t="s">
        <v>11</v>
      </c>
      <c r="K3" s="3" t="s">
        <v>12</v>
      </c>
      <c r="L3" s="3" t="s">
        <v>13</v>
      </c>
      <c r="M3" s="3" t="s">
        <v>14</v>
      </c>
      <c r="N3" s="3" t="s">
        <v>173</v>
      </c>
      <c r="O3" s="3" t="s">
        <v>174</v>
      </c>
      <c r="P3" s="4" t="s">
        <v>175</v>
      </c>
      <c r="Q3" s="3" t="s">
        <v>176</v>
      </c>
      <c r="R3" s="3" t="s">
        <v>177</v>
      </c>
      <c r="S3" s="3" t="s">
        <v>178</v>
      </c>
      <c r="T3" s="3" t="s">
        <v>179</v>
      </c>
      <c r="U3" s="3" t="s">
        <v>180</v>
      </c>
      <c r="V3" s="3" t="s">
        <v>181</v>
      </c>
      <c r="W3" s="3" t="s">
        <v>182</v>
      </c>
    </row>
    <row r="4" ht="34" customHeight="1" spans="1:23" x14ac:dyDescent="0.25">
      <c r="A4" t="s">
        <v>29</v>
      </c>
      <c r="N4" s="5">
        <f>EDATE(Parametres!$B$2,0)</f>
        <v>46190</v>
      </c>
      <c r="O4" s="5">
        <f>EDATE(Parametres!$B$2,1)</f>
        <v>46220</v>
      </c>
      <c r="P4" s="6">
        <f>EDATE(Parametres!$B$2,2)</f>
        <v>46251</v>
      </c>
      <c r="Q4" s="5">
        <f>EDATE(Parametres!$B$2,3)</f>
        <v>46282</v>
      </c>
      <c r="R4" s="5">
        <f>EDATE(Parametres!$B$2,4)</f>
        <v>46312</v>
      </c>
      <c r="S4" s="5">
        <f>EDATE(Parametres!$B$2,5)</f>
        <v>46343</v>
      </c>
      <c r="T4" s="5">
        <f>EDATE(Parametres!$B$2,6)</f>
        <v>46373</v>
      </c>
      <c r="U4" s="5">
        <f>EDATE(Parametres!$B$2,7)</f>
        <v>46404</v>
      </c>
      <c r="V4" s="5">
        <f>EDATE(Parametres!$B$2,8)</f>
        <v>46435</v>
      </c>
      <c r="W4" s="5">
        <f>EDATE(Parametres!$B$2,9)</f>
        <v>46463</v>
      </c>
    </row>
    <row r="5" ht="30" customHeight="1" spans="1:23" x14ac:dyDescent="0.25">
      <c r="A5" s="7" t="s">
        <v>183</v>
      </c>
      <c r="B5" s="8" t="s">
        <v>184</v>
      </c>
      <c r="C5" s="8" t="s">
        <v>185</v>
      </c>
      <c r="D5" s="9" t="s">
        <v>92</v>
      </c>
      <c r="E5" s="28" t="s">
        <v>186</v>
      </c>
      <c r="F5" s="11">
        <v>0.89</v>
      </c>
      <c r="G5" s="12">
        <f>Parametres!$B$2+0</f>
        <v>46190</v>
      </c>
      <c r="H5" s="12">
        <f>Parametres!$B$2+93</f>
        <v>46283</v>
      </c>
      <c r="I5" s="9">
        <v>67</v>
      </c>
      <c r="J5" s="9" t="s">
        <v>35</v>
      </c>
      <c r="K5" s="9" t="s">
        <v>160</v>
      </c>
      <c r="L5" s="9" t="s">
        <v>36</v>
      </c>
      <c r="M5" s="8" t="s">
        <v>187</v>
      </c>
      <c r="N5" s="27"/>
      <c r="O5" s="27"/>
      <c r="P5" s="29"/>
      <c r="Q5" s="30" t="s">
        <v>56</v>
      </c>
    </row>
    <row r="6" ht="30" customHeight="1" spans="1:23" x14ac:dyDescent="0.25">
      <c r="A6" s="9" t="s">
        <v>188</v>
      </c>
      <c r="B6" s="8" t="s">
        <v>189</v>
      </c>
      <c r="C6" s="8" t="s">
        <v>190</v>
      </c>
      <c r="D6" s="9" t="s">
        <v>92</v>
      </c>
      <c r="E6" s="20" t="s">
        <v>144</v>
      </c>
      <c r="F6" s="11">
        <v>0</v>
      </c>
      <c r="G6" s="12">
        <f>Parametres!$B$2+96</f>
        <v>46286</v>
      </c>
      <c r="H6" s="12">
        <f>Parametres!$B$2+121</f>
        <v>46311</v>
      </c>
      <c r="I6" s="9">
        <v>20</v>
      </c>
      <c r="J6" s="9" t="s">
        <v>183</v>
      </c>
      <c r="K6" s="9" t="s">
        <v>35</v>
      </c>
      <c r="L6" s="9" t="s">
        <v>35</v>
      </c>
      <c r="M6" s="8" t="s">
        <v>191</v>
      </c>
      <c r="P6" s="14"/>
      <c r="Q6" s="21"/>
    </row>
    <row r="7" ht="30" customHeight="1" spans="1:23" x14ac:dyDescent="0.25">
      <c r="A7" s="7" t="s">
        <v>192</v>
      </c>
      <c r="B7" s="8" t="s">
        <v>193</v>
      </c>
      <c r="C7" s="8" t="s">
        <v>194</v>
      </c>
      <c r="D7" s="9" t="s">
        <v>92</v>
      </c>
      <c r="E7" s="20" t="s">
        <v>144</v>
      </c>
      <c r="F7" s="11">
        <v>0</v>
      </c>
      <c r="G7" s="12">
        <f>Parametres!$B$2+96</f>
        <v>46286</v>
      </c>
      <c r="H7" s="12">
        <f>Parametres!$B$2+156</f>
        <v>46346</v>
      </c>
      <c r="I7" s="9">
        <v>45</v>
      </c>
      <c r="J7" s="9" t="s">
        <v>183</v>
      </c>
      <c r="K7" s="9" t="s">
        <v>195</v>
      </c>
      <c r="L7" s="9" t="s">
        <v>36</v>
      </c>
      <c r="M7" s="8" t="s">
        <v>196</v>
      </c>
      <c r="P7" s="14"/>
      <c r="Q7" s="21"/>
      <c r="R7" s="21"/>
      <c r="S7" s="22" t="s">
        <v>56</v>
      </c>
    </row>
    <row r="8" ht="30" customHeight="1" spans="1:23" x14ac:dyDescent="0.25">
      <c r="A8" s="7" t="s">
        <v>197</v>
      </c>
      <c r="B8" s="8" t="s">
        <v>198</v>
      </c>
      <c r="C8" s="8" t="s">
        <v>199</v>
      </c>
      <c r="D8" s="9" t="s">
        <v>92</v>
      </c>
      <c r="E8" s="20" t="s">
        <v>144</v>
      </c>
      <c r="F8" s="11">
        <v>0</v>
      </c>
      <c r="G8" s="12">
        <f>Parametres!$B$2+159</f>
        <v>46349</v>
      </c>
      <c r="H8" s="12">
        <f>Parametres!$B$2+219</f>
        <v>46409</v>
      </c>
      <c r="I8" s="9">
        <v>45</v>
      </c>
      <c r="J8" s="9" t="s">
        <v>192</v>
      </c>
      <c r="K8" s="9" t="s">
        <v>200</v>
      </c>
      <c r="L8" s="9" t="s">
        <v>36</v>
      </c>
      <c r="M8" s="8" t="s">
        <v>201</v>
      </c>
      <c r="P8" s="14"/>
      <c r="S8" s="21"/>
      <c r="T8" s="21"/>
      <c r="U8" s="22" t="s">
        <v>56</v>
      </c>
    </row>
    <row r="9" ht="30" customHeight="1" spans="1:23" x14ac:dyDescent="0.25">
      <c r="A9" s="7" t="s">
        <v>202</v>
      </c>
      <c r="B9" s="8" t="s">
        <v>203</v>
      </c>
      <c r="C9" s="8" t="s">
        <v>204</v>
      </c>
      <c r="D9" s="9" t="s">
        <v>92</v>
      </c>
      <c r="E9" s="20" t="s">
        <v>144</v>
      </c>
      <c r="F9" s="11">
        <v>0</v>
      </c>
      <c r="G9" s="12">
        <f>Parametres!$B$2+222</f>
        <v>46412</v>
      </c>
      <c r="H9" s="12">
        <f>Parametres!$B$2+268</f>
        <v>46458</v>
      </c>
      <c r="I9" s="9">
        <v>35</v>
      </c>
      <c r="J9" s="9" t="s">
        <v>197</v>
      </c>
      <c r="K9" s="9" t="s">
        <v>205</v>
      </c>
      <c r="L9" s="9" t="s">
        <v>36</v>
      </c>
      <c r="M9" s="8" t="s">
        <v>206</v>
      </c>
      <c r="P9" s="14"/>
      <c r="U9" s="21"/>
      <c r="V9" s="22" t="s">
        <v>56</v>
      </c>
    </row>
    <row r="10" ht="30" customHeight="1" spans="1:23" x14ac:dyDescent="0.25">
      <c r="A10" s="7" t="s">
        <v>207</v>
      </c>
      <c r="B10" s="8" t="s">
        <v>208</v>
      </c>
      <c r="C10" s="8" t="s">
        <v>209</v>
      </c>
      <c r="D10" s="9" t="s">
        <v>92</v>
      </c>
      <c r="E10" s="20" t="s">
        <v>144</v>
      </c>
      <c r="F10" s="11">
        <v>0</v>
      </c>
      <c r="G10" s="12">
        <f>Parametres!$B$2+271</f>
        <v>46461</v>
      </c>
      <c r="H10" s="12">
        <f>Parametres!$B$2+303</f>
        <v>46493</v>
      </c>
      <c r="I10" s="9">
        <v>25</v>
      </c>
      <c r="J10" s="9" t="s">
        <v>210</v>
      </c>
      <c r="K10" s="9" t="s">
        <v>211</v>
      </c>
      <c r="L10" s="9" t="s">
        <v>36</v>
      </c>
      <c r="M10" s="8" t="s">
        <v>212</v>
      </c>
      <c r="P10" s="14"/>
      <c r="V10" s="21"/>
      <c r="W10" s="22" t="s">
        <v>56</v>
      </c>
    </row>
    <row r="11" spans="1:16" x14ac:dyDescent="0.25">
      <c r="A11" s="23" t="s">
        <v>162</v>
      </c>
      <c r="P11" s="24" t="s">
        <v>163</v>
      </c>
    </row>
    <row r="13" spans="1:1" x14ac:dyDescent="0.25">
      <c r="A13" s="25" t="s">
        <v>164</v>
      </c>
    </row>
    <row r="14" spans="1:2" x14ac:dyDescent="0.25">
      <c r="A14" s="13"/>
      <c r="B14" s="26" t="s">
        <v>165</v>
      </c>
    </row>
    <row r="15" spans="1:2" x14ac:dyDescent="0.25">
      <c r="A15" s="27"/>
      <c r="B15" s="26" t="s">
        <v>166</v>
      </c>
    </row>
    <row r="16" spans="1:2" x14ac:dyDescent="0.25">
      <c r="A16" s="21"/>
      <c r="B16" s="26" t="s">
        <v>167</v>
      </c>
    </row>
    <row r="17" spans="1:2" x14ac:dyDescent="0.25">
      <c r="A17" s="17"/>
      <c r="B17" s="26" t="s">
        <v>168</v>
      </c>
    </row>
    <row r="18" spans="2:2" x14ac:dyDescent="0.25">
      <c r="B18" s="26" t="s">
        <v>169</v>
      </c>
    </row>
    <row r="19" spans="2:2" x14ac:dyDescent="0.25">
      <c r="B19" s="26" t="s">
        <v>170</v>
      </c>
    </row>
  </sheetData>
  <autoFilter ref="A3:M10"/>
  <mergeCells count="2">
    <mergeCell ref="A1:W1"/>
    <mergeCell ref="A2:W2"/>
  </mergeCells>
  <pageMargins left="0.7" right="0.7" top="0.75" bottom="0.75" header="0.3" footer="0.3"/>
  <pageSetup paperSize="9"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1"/>
  <sheetFormatPr defaultRowHeight="15" outlineLevelRow="0" outlineLevelCol="0" x14ac:dyDescent="55"/>
  <cols>
    <col min="1" max="1" width="10" customWidth="1"/>
    <col min="2" max="2" width="52" customWidth="1"/>
    <col min="3" max="3" width="13" customWidth="1"/>
    <col min="4" max="4" width="22" customWidth="1"/>
    <col min="5" max="5" width="80" customWidth="1"/>
    <col min="6" max="6" width="60" customWidth="1"/>
  </cols>
  <sheetData>
    <row r="1" spans="1:6" x14ac:dyDescent="0.25">
      <c r="A1" s="1" t="s">
        <v>213</v>
      </c>
      <c r="B1" s="1"/>
      <c r="C1" s="1"/>
      <c r="D1" s="1"/>
      <c r="E1" s="1"/>
      <c r="F1" s="1"/>
    </row>
    <row r="3" ht="24" customHeight="1" spans="1:6" x14ac:dyDescent="0.25">
      <c r="A3" s="3" t="s">
        <v>214</v>
      </c>
      <c r="B3" s="3" t="s">
        <v>215</v>
      </c>
      <c r="C3" s="3" t="s">
        <v>216</v>
      </c>
      <c r="D3" s="3" t="s">
        <v>6</v>
      </c>
      <c r="E3" s="3" t="s">
        <v>217</v>
      </c>
      <c r="F3" s="3" t="s">
        <v>218</v>
      </c>
    </row>
    <row r="4" ht="42" customHeight="1" spans="1:6" x14ac:dyDescent="0.25">
      <c r="A4" s="31" t="s">
        <v>219</v>
      </c>
      <c r="B4" s="8" t="s">
        <v>220</v>
      </c>
      <c r="C4" s="32">
        <f>Parametres!$B$2+8</f>
        <v>46198</v>
      </c>
      <c r="D4" s="8" t="s">
        <v>221</v>
      </c>
      <c r="E4" s="8" t="s">
        <v>222</v>
      </c>
      <c r="F4" s="8" t="s">
        <v>223</v>
      </c>
    </row>
    <row r="5" ht="56" customHeight="1" spans="1:6" x14ac:dyDescent="0.25">
      <c r="A5" s="31" t="s">
        <v>224</v>
      </c>
      <c r="B5" s="8" t="s">
        <v>225</v>
      </c>
      <c r="C5" s="32">
        <f>Parametres!$B$2+40</f>
        <v>46230</v>
      </c>
      <c r="D5" s="8" t="s">
        <v>221</v>
      </c>
      <c r="E5" s="8" t="s">
        <v>226</v>
      </c>
      <c r="F5" s="8" t="s">
        <v>227</v>
      </c>
    </row>
    <row r="6" ht="70" customHeight="1" spans="1:6" x14ac:dyDescent="0.25">
      <c r="A6" s="31" t="s">
        <v>228</v>
      </c>
      <c r="B6" s="8" t="s">
        <v>229</v>
      </c>
      <c r="C6" s="32">
        <f>Parametres!$B$2+63</f>
        <v>46253</v>
      </c>
      <c r="D6" s="8" t="s">
        <v>230</v>
      </c>
      <c r="E6" s="8" t="s">
        <v>231</v>
      </c>
      <c r="F6" s="8" t="s">
        <v>232</v>
      </c>
    </row>
    <row r="7" ht="70" customHeight="1" spans="1:6" x14ac:dyDescent="0.25">
      <c r="A7" s="33" t="s">
        <v>233</v>
      </c>
      <c r="B7" s="8" t="s">
        <v>234</v>
      </c>
      <c r="C7" s="32">
        <f>Parametres!$B$2+93</f>
        <v>46283</v>
      </c>
      <c r="D7" s="8" t="s">
        <v>144</v>
      </c>
      <c r="E7" s="8" t="s">
        <v>235</v>
      </c>
      <c r="F7" s="8" t="s">
        <v>35</v>
      </c>
    </row>
    <row r="8" ht="30" customHeight="1" spans="1:6" x14ac:dyDescent="0.25">
      <c r="A8" s="33" t="s">
        <v>236</v>
      </c>
      <c r="B8" s="8" t="s">
        <v>237</v>
      </c>
      <c r="C8" s="32">
        <f>Parametres!$B$2+156</f>
        <v>46346</v>
      </c>
      <c r="D8" s="8" t="s">
        <v>144</v>
      </c>
      <c r="E8" s="8" t="s">
        <v>238</v>
      </c>
      <c r="F8" s="8" t="s">
        <v>35</v>
      </c>
    </row>
    <row r="9" ht="30" customHeight="1" spans="1:6" x14ac:dyDescent="0.25">
      <c r="A9" s="33" t="s">
        <v>239</v>
      </c>
      <c r="B9" s="8" t="s">
        <v>240</v>
      </c>
      <c r="C9" s="32">
        <f>Parametres!$B$2+219</f>
        <v>46409</v>
      </c>
      <c r="D9" s="8" t="s">
        <v>144</v>
      </c>
      <c r="E9" s="8" t="s">
        <v>238</v>
      </c>
      <c r="F9" s="8" t="s">
        <v>35</v>
      </c>
    </row>
    <row r="10" ht="30" customHeight="1" spans="1:6" x14ac:dyDescent="0.25">
      <c r="A10" s="33" t="s">
        <v>241</v>
      </c>
      <c r="B10" s="8" t="s">
        <v>242</v>
      </c>
      <c r="C10" s="32">
        <f>Parametres!$B$2+268</f>
        <v>46458</v>
      </c>
      <c r="D10" s="8" t="s">
        <v>144</v>
      </c>
      <c r="E10" s="8" t="s">
        <v>238</v>
      </c>
      <c r="F10" s="8" t="s">
        <v>35</v>
      </c>
    </row>
    <row r="11" ht="30" customHeight="1" spans="1:6" x14ac:dyDescent="0.25">
      <c r="A11" s="33" t="s">
        <v>243</v>
      </c>
      <c r="B11" s="8" t="s">
        <v>244</v>
      </c>
      <c r="C11" s="32">
        <f>Parametres!$B$2+303</f>
        <v>46493</v>
      </c>
      <c r="D11" s="8" t="s">
        <v>144</v>
      </c>
      <c r="E11" s="8" t="s">
        <v>245</v>
      </c>
      <c r="F11" s="8" t="s">
        <v>35</v>
      </c>
    </row>
  </sheetData>
  <mergeCells count="1">
    <mergeCell ref="A1:F1"/>
  </mergeCells>
  <pageMargins left="0.7" right="0.7" top="0.75" bottom="0.75" header="0.3" footer="0.3"/>
  <pageSetup paperSize="9" orientation="landscape" horizontalDpi="4294967295" verticalDpi="4294967295" scale="100"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FormatPr defaultRowHeight="15" outlineLevelRow="0" outlineLevelCol="0" x14ac:dyDescent="55"/>
  <cols>
    <col min="1" max="1" width="34" customWidth="1"/>
    <col min="2" max="2" width="22" customWidth="1"/>
    <col min="3" max="3" width="74" customWidth="1"/>
  </cols>
  <sheetData>
    <row r="1" spans="1:3" x14ac:dyDescent="0.25">
      <c r="A1" s="3" t="s">
        <v>246</v>
      </c>
      <c r="B1" s="3" t="s">
        <v>247</v>
      </c>
      <c r="C1" s="3" t="s">
        <v>248</v>
      </c>
    </row>
    <row r="2" spans="1:3" x14ac:dyDescent="0.25">
      <c r="A2" t="s">
        <v>249</v>
      </c>
      <c r="B2" s="34">
        <v>46190</v>
      </c>
      <c r="C2" t="s">
        <v>250</v>
      </c>
    </row>
    <row r="3" spans="1:3" x14ac:dyDescent="0.25">
      <c r="A3" s="35" t="s">
        <v>251</v>
      </c>
      <c r="B3" s="36">
        <v>46266</v>
      </c>
      <c r="C3" s="37" t="s">
        <v>252</v>
      </c>
    </row>
    <row r="4" spans="1:3" x14ac:dyDescent="0.25">
      <c r="A4" s="35" t="s">
        <v>253</v>
      </c>
      <c r="B4" s="36">
        <v>46283</v>
      </c>
      <c r="C4" s="37" t="s">
        <v>254</v>
      </c>
    </row>
    <row r="5" spans="1:3" x14ac:dyDescent="0.25">
      <c r="A5" s="35" t="s">
        <v>255</v>
      </c>
      <c r="B5" s="35" t="s">
        <v>256</v>
      </c>
      <c r="C5" s="37" t="s">
        <v>257</v>
      </c>
    </row>
    <row r="6" spans="1:3" x14ac:dyDescent="0.25">
      <c r="A6" s="35" t="s">
        <v>258</v>
      </c>
      <c r="B6" s="35" t="s">
        <v>259</v>
      </c>
      <c r="C6" s="37" t="s">
        <v>260</v>
      </c>
    </row>
    <row r="7" spans="1:3" x14ac:dyDescent="0.25">
      <c r="A7" s="35" t="s">
        <v>261</v>
      </c>
      <c r="B7" s="35" t="s">
        <v>92</v>
      </c>
      <c r="C7" s="37" t="s">
        <v>35</v>
      </c>
    </row>
    <row r="8" spans="1:3" x14ac:dyDescent="0.25">
      <c r="A8" s="35" t="s">
        <v>35</v>
      </c>
      <c r="B8" s="35" t="s">
        <v>35</v>
      </c>
      <c r="C8" s="37" t="s">
        <v>35</v>
      </c>
    </row>
    <row r="9" spans="1:3" x14ac:dyDescent="0.25">
      <c r="A9" s="38" t="s">
        <v>262</v>
      </c>
      <c r="B9" s="35" t="s">
        <v>35</v>
      </c>
      <c r="C9" s="37" t="s">
        <v>35</v>
      </c>
    </row>
    <row r="10" spans="1:3" x14ac:dyDescent="0.25">
      <c r="A10" s="35" t="s">
        <v>263</v>
      </c>
      <c r="B10" s="35">
        <v>27</v>
      </c>
      <c r="C10" s="37" t="s">
        <v>264</v>
      </c>
    </row>
    <row r="11" spans="1:3" x14ac:dyDescent="0.25">
      <c r="A11" s="35" t="s">
        <v>265</v>
      </c>
      <c r="B11" s="35" t="s">
        <v>266</v>
      </c>
      <c r="C11" s="37" t="s">
        <v>267</v>
      </c>
    </row>
    <row r="12" spans="1:3" x14ac:dyDescent="0.25">
      <c r="A12" s="35" t="s">
        <v>268</v>
      </c>
      <c r="B12" s="35" t="s">
        <v>269</v>
      </c>
      <c r="C12" s="37" t="s">
        <v>270</v>
      </c>
    </row>
    <row r="13" spans="1:3" x14ac:dyDescent="0.25">
      <c r="A13" s="35" t="s">
        <v>271</v>
      </c>
      <c r="B13" s="35">
        <v>2</v>
      </c>
      <c r="C13" s="37" t="s">
        <v>272</v>
      </c>
    </row>
    <row r="14" spans="1:3" x14ac:dyDescent="0.25">
      <c r="A14" s="35" t="s">
        <v>273</v>
      </c>
      <c r="B14" s="35">
        <v>3</v>
      </c>
      <c r="C14" s="37" t="s">
        <v>274</v>
      </c>
    </row>
    <row r="15" spans="1:3" x14ac:dyDescent="0.25">
      <c r="A15" s="35" t="s">
        <v>275</v>
      </c>
      <c r="B15" s="35" t="s">
        <v>276</v>
      </c>
      <c r="C15" s="37" t="s">
        <v>277</v>
      </c>
    </row>
    <row r="16" spans="1:3" x14ac:dyDescent="0.25">
      <c r="A16" s="35" t="s">
        <v>278</v>
      </c>
      <c r="B16" s="35" t="s">
        <v>279</v>
      </c>
      <c r="C16" s="37" t="s">
        <v>280</v>
      </c>
    </row>
    <row r="17" spans="1:3" x14ac:dyDescent="0.25">
      <c r="A17" s="35" t="s">
        <v>281</v>
      </c>
      <c r="B17" s="35" t="s">
        <v>282</v>
      </c>
      <c r="C17" s="37" t="s">
        <v>283</v>
      </c>
    </row>
    <row r="20" spans="1:1" x14ac:dyDescent="0.25">
      <c r="A20" s="39" t="s">
        <v>284</v>
      </c>
    </row>
    <row r="21" spans="1:3" x14ac:dyDescent="0.25">
      <c r="A21" s="40" t="s">
        <v>285</v>
      </c>
      <c r="B21" s="40"/>
      <c r="C21" s="40"/>
    </row>
    <row r="22" spans="1:3" x14ac:dyDescent="0.25">
      <c r="A22" s="40" t="s">
        <v>286</v>
      </c>
      <c r="B22" s="40"/>
      <c r="C22" s="40"/>
    </row>
    <row r="23" spans="1:3" x14ac:dyDescent="0.25">
      <c r="A23" s="40" t="s">
        <v>287</v>
      </c>
      <c r="B23" s="40"/>
      <c r="C23" s="40"/>
    </row>
    <row r="24" spans="1:3" x14ac:dyDescent="0.25">
      <c r="A24" s="40" t="s">
        <v>288</v>
      </c>
      <c r="B24" s="40"/>
      <c r="C24" s="40"/>
    </row>
    <row r="25" spans="1:3" x14ac:dyDescent="0.25">
      <c r="A25" s="40" t="s">
        <v>289</v>
      </c>
      <c r="B25" s="40"/>
      <c r="C25" s="40"/>
    </row>
    <row r="26" spans="1:3" x14ac:dyDescent="0.25">
      <c r="A26" s="40" t="s">
        <v>290</v>
      </c>
      <c r="B26" s="40"/>
      <c r="C26" s="40"/>
    </row>
    <row r="27" spans="1:3" x14ac:dyDescent="0.25">
      <c r="A27" s="40" t="s">
        <v>291</v>
      </c>
      <c r="B27" s="40"/>
      <c r="C27" s="40"/>
    </row>
    <row r="28" spans="1:3" x14ac:dyDescent="0.25">
      <c r="A28" s="40" t="s">
        <v>292</v>
      </c>
      <c r="B28" s="40"/>
      <c r="C28" s="40"/>
    </row>
    <row r="29" spans="1:3" x14ac:dyDescent="0.25">
      <c r="A29" s="40" t="s">
        <v>293</v>
      </c>
      <c r="B29" s="40"/>
      <c r="C29" s="40"/>
    </row>
    <row r="30" spans="1:3" x14ac:dyDescent="0.25">
      <c r="A30" s="40" t="s">
        <v>294</v>
      </c>
      <c r="B30" s="40"/>
      <c r="C30" s="40"/>
    </row>
    <row r="31" spans="1:3" x14ac:dyDescent="0.25">
      <c r="A31" s="40" t="s">
        <v>295</v>
      </c>
      <c r="B31" s="40"/>
      <c r="C31" s="40"/>
    </row>
    <row r="32" spans="1:3" x14ac:dyDescent="0.25">
      <c r="A32" s="40" t="s">
        <v>296</v>
      </c>
      <c r="B32" s="40"/>
      <c r="C32" s="40"/>
    </row>
    <row r="33" spans="1:3" x14ac:dyDescent="0.25">
      <c r="A33" s="40" t="s">
        <v>297</v>
      </c>
      <c r="B33" s="40"/>
      <c r="C33" s="40"/>
    </row>
    <row r="34" spans="1:3" x14ac:dyDescent="0.25">
      <c r="A34" s="40" t="s">
        <v>298</v>
      </c>
      <c r="B34" s="40"/>
      <c r="C34" s="40"/>
    </row>
    <row r="35" spans="1:3" x14ac:dyDescent="0.25">
      <c r="A35" s="40" t="s">
        <v>299</v>
      </c>
      <c r="B35" s="40"/>
      <c r="C35" s="40"/>
    </row>
  </sheetData>
  <mergeCells count="15">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Module_Planification</vt:lpstr>
      <vt:lpstr>Global_PRS2</vt:lpstr>
      <vt:lpstr>Jalons</vt:lpstr>
      <vt:lpstr>Parametres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generer_chronogramme.mjs</dc:creator>
  <dc:title/>
  <dc:subject/>
  <dc:description/>
  <cp:keywords/>
  <cp:category/>
  <cp:lastModifiedBy>Unknown</cp:lastModifiedBy>
  <dcterms:created xsi:type="dcterms:W3CDTF">2026-09-01T00:00:00Z</dcterms:created>
  <dcterms:modified xsi:type="dcterms:W3CDTF">2026-09-01T11:30:00Z</dcterms:modified>
</cp:coreProperties>
</file>